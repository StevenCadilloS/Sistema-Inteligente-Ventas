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" sheetId="1" r:id="rId5"/>
    <sheet state="visible" name="TABLA PROPUESTAS" sheetId="2" r:id="rId6"/>
    <sheet state="visible" name="Consulta crítica" sheetId="3" r:id="rId7"/>
  </sheets>
  <definedNames/>
  <calcPr/>
</workbook>
</file>

<file path=xl/sharedStrings.xml><?xml version="1.0" encoding="utf-8"?>
<sst xmlns="http://schemas.openxmlformats.org/spreadsheetml/2006/main" count="1141" uniqueCount="220">
  <si>
    <t>TABLAS MAESTRAS</t>
  </si>
  <si>
    <t>Transaccion</t>
  </si>
  <si>
    <t>MAESTRA - PRODUCTOS</t>
  </si>
  <si>
    <t>Estrategias</t>
  </si>
  <si>
    <t>Atributo</t>
  </si>
  <si>
    <t>Tipo</t>
  </si>
  <si>
    <t>codTRX</t>
  </si>
  <si>
    <t xml:space="preserve">Tamaño </t>
  </si>
  <si>
    <t>Cliente</t>
  </si>
  <si>
    <t>Clave</t>
  </si>
  <si>
    <t>cod_estrategia</t>
  </si>
  <si>
    <t>Diseño Físico</t>
  </si>
  <si>
    <t>Tipo_TRX</t>
  </si>
  <si>
    <t>cod_cliente</t>
  </si>
  <si>
    <t>nombre_estrategia</t>
  </si>
  <si>
    <t>cod_protocolo</t>
  </si>
  <si>
    <t>cod_lote_producto</t>
  </si>
  <si>
    <t>nombre</t>
  </si>
  <si>
    <t>tipo_estrategia</t>
  </si>
  <si>
    <t>estado</t>
  </si>
  <si>
    <t>dni</t>
  </si>
  <si>
    <t>char</t>
  </si>
  <si>
    <t>cod_gesto</t>
  </si>
  <si>
    <t>PK</t>
  </si>
  <si>
    <t>tipo_cliente</t>
  </si>
  <si>
    <t>Nombre</t>
  </si>
  <si>
    <t>min interes</t>
  </si>
  <si>
    <t>edad</t>
  </si>
  <si>
    <t>max interes</t>
  </si>
  <si>
    <t>sexo</t>
  </si>
  <si>
    <t>Consulta de Cierres de venta por Tipo de producto</t>
  </si>
  <si>
    <t>nombre_producto</t>
  </si>
  <si>
    <t>varchar</t>
  </si>
  <si>
    <t>MOV-INTERACCIONES</t>
  </si>
  <si>
    <t>canal</t>
  </si>
  <si>
    <t>SK</t>
  </si>
  <si>
    <t>correlativo</t>
  </si>
  <si>
    <t>id_interaccion</t>
  </si>
  <si>
    <t>Organización</t>
  </si>
  <si>
    <t>cod_producto</t>
  </si>
  <si>
    <t>tipo_transaccion</t>
  </si>
  <si>
    <t>fecha</t>
  </si>
  <si>
    <t>hora</t>
  </si>
  <si>
    <t>nivel_de_interes</t>
  </si>
  <si>
    <t>Cuenta-Productos</t>
  </si>
  <si>
    <t>indexada</t>
  </si>
  <si>
    <t>Maestra clientes</t>
  </si>
  <si>
    <t>fecha_creacion_stock</t>
  </si>
  <si>
    <t>total_disponible</t>
  </si>
  <si>
    <t>date</t>
  </si>
  <si>
    <t>total_vendidos</t>
  </si>
  <si>
    <t>--</t>
  </si>
  <si>
    <t>apellido</t>
  </si>
  <si>
    <t>Longitud de Registro</t>
  </si>
  <si>
    <t>total_veces_mostrado</t>
  </si>
  <si>
    <t>(53,53)</t>
  </si>
  <si>
    <t>Tipo de producto</t>
  </si>
  <si>
    <t>estado_producto</t>
  </si>
  <si>
    <t>T00002</t>
  </si>
  <si>
    <t>int</t>
  </si>
  <si>
    <t>Maestra productos</t>
  </si>
  <si>
    <t>IC</t>
  </si>
  <si>
    <t>tipo_producto</t>
  </si>
  <si>
    <t>total_ventasxtipoProducto (se conseguira a treves de calculo)</t>
  </si>
  <si>
    <t>Capacidad</t>
  </si>
  <si>
    <t>N=1000000, AC=19*12*18</t>
  </si>
  <si>
    <t>cierres_venta</t>
  </si>
  <si>
    <t>bitacora venta</t>
  </si>
  <si>
    <t>cantidad</t>
  </si>
  <si>
    <t>Nombre tipo</t>
  </si>
  <si>
    <t>Casaca</t>
  </si>
  <si>
    <t>TABLAS DE MOVIMIENTOS</t>
  </si>
  <si>
    <t>cod cliente</t>
  </si>
  <si>
    <t>BITÁCORA INTERACCIONES</t>
  </si>
  <si>
    <t>C0000001</t>
  </si>
  <si>
    <t>Diego</t>
  </si>
  <si>
    <t>Moran</t>
  </si>
  <si>
    <t>P0000001</t>
  </si>
  <si>
    <t>Casaca Ultimate</t>
  </si>
  <si>
    <t>E000001</t>
  </si>
  <si>
    <t>Oferta persuasiva</t>
  </si>
  <si>
    <t>24/'02/2025</t>
  </si>
  <si>
    <t>Ver detalles</t>
  </si>
  <si>
    <t>C0000002</t>
  </si>
  <si>
    <t>MAESTRA - CLIENTES</t>
  </si>
  <si>
    <t>Steven</t>
  </si>
  <si>
    <t>Cadillo</t>
  </si>
  <si>
    <t>P0000002</t>
  </si>
  <si>
    <t>Casaca Ligth</t>
  </si>
  <si>
    <t>E000008</t>
  </si>
  <si>
    <t>Producto alternativo</t>
  </si>
  <si>
    <t>Indexado</t>
  </si>
  <si>
    <t>id_proceso_venta</t>
  </si>
  <si>
    <t>C0000003</t>
  </si>
  <si>
    <t>Tino</t>
  </si>
  <si>
    <t>(67,67)</t>
  </si>
  <si>
    <t>Reyna</t>
  </si>
  <si>
    <t>P0000003</t>
  </si>
  <si>
    <t>Casaca Deluxe Verano</t>
  </si>
  <si>
    <t>E000005</t>
  </si>
  <si>
    <t>FK</t>
  </si>
  <si>
    <t>´10/01/2025</t>
  </si>
  <si>
    <t>...</t>
  </si>
  <si>
    <t>nombre_cliente</t>
  </si>
  <si>
    <t>..</t>
  </si>
  <si>
    <t>N=1000000, AC= 19*24*7</t>
  </si>
  <si>
    <t>DISEÑO LÓGICO</t>
  </si>
  <si>
    <t>fecha_ingreso</t>
  </si>
  <si>
    <t>clave primaria</t>
  </si>
  <si>
    <t>nombre_tipo_producto</t>
  </si>
  <si>
    <t>cant_entradas</t>
  </si>
  <si>
    <t>clave secundaria</t>
  </si>
  <si>
    <t>total_ventas</t>
  </si>
  <si>
    <t>(68,68)</t>
  </si>
  <si>
    <t>total_cierres_ventas</t>
  </si>
  <si>
    <t>ventas</t>
  </si>
  <si>
    <t>´1-99</t>
  </si>
  <si>
    <t>última_visita</t>
  </si>
  <si>
    <t>estado_cliente</t>
  </si>
  <si>
    <t>float</t>
  </si>
  <si>
    <t>MAESTRA - ESTRATEGIAS</t>
  </si>
  <si>
    <t>BITÁCORA VENTAS</t>
  </si>
  <si>
    <t>a.</t>
  </si>
  <si>
    <t>Tabla consulta Cierres de ventas - tipo Producto</t>
  </si>
  <si>
    <t>Organizacion</t>
  </si>
  <si>
    <t>Indexada</t>
  </si>
  <si>
    <t>Clave-Primaria</t>
  </si>
  <si>
    <t>Clave-Secundaria</t>
  </si>
  <si>
    <t>RL</t>
  </si>
  <si>
    <t>ER</t>
  </si>
  <si>
    <t>b.</t>
  </si>
  <si>
    <t>Longitud-Registro</t>
  </si>
  <si>
    <t>(12196,2479)</t>
  </si>
  <si>
    <t>c.</t>
  </si>
  <si>
    <t>Espacio Libre</t>
  </si>
  <si>
    <t>(0,0)</t>
  </si>
  <si>
    <t>d.</t>
  </si>
  <si>
    <t>Longitud de BLOQUE (IC)</t>
  </si>
  <si>
    <t>se elige este</t>
  </si>
  <si>
    <t xml:space="preserve">e. </t>
  </si>
  <si>
    <t>Longitud de EXTENT (AC)</t>
  </si>
  <si>
    <t>19*3*1 RLS</t>
  </si>
  <si>
    <t>f.</t>
  </si>
  <si>
    <t>(N=1000000, AC= 19*3*2 RLS)</t>
  </si>
  <si>
    <t>-FK</t>
  </si>
  <si>
    <t>(37,37)</t>
  </si>
  <si>
    <t>(41,41)</t>
  </si>
  <si>
    <t>total_veces_aplicada</t>
  </si>
  <si>
    <t>ventas_generadas</t>
  </si>
  <si>
    <t>N=1000000, AC= 19*6*38</t>
  </si>
  <si>
    <t>---</t>
  </si>
  <si>
    <t>N=1000000, AC= 19*12*23</t>
  </si>
  <si>
    <t>E1</t>
  </si>
  <si>
    <t>E2</t>
  </si>
  <si>
    <t>E3</t>
  </si>
  <si>
    <t>E4</t>
  </si>
  <si>
    <t>BITÁCORA DETALLE VENTA</t>
  </si>
  <si>
    <t>canal_venta</t>
  </si>
  <si>
    <t>(17,17)</t>
  </si>
  <si>
    <t>N=1000000, AC= 19*24*23</t>
  </si>
  <si>
    <t>W</t>
  </si>
  <si>
    <t>C000001</t>
  </si>
  <si>
    <t>T0001</t>
  </si>
  <si>
    <t>G000001</t>
  </si>
  <si>
    <t>0000000</t>
  </si>
  <si>
    <t>TRX0001</t>
  </si>
  <si>
    <t>E000002</t>
  </si>
  <si>
    <t>G000002</t>
  </si>
  <si>
    <t>P000002</t>
  </si>
  <si>
    <t>TRX0002</t>
  </si>
  <si>
    <t>En la carpeta se encuentra el diagrama</t>
  </si>
  <si>
    <t>E000003</t>
  </si>
  <si>
    <t>G000003</t>
  </si>
  <si>
    <t>P000003</t>
  </si>
  <si>
    <t>TRX0003</t>
  </si>
  <si>
    <t>G000004</t>
  </si>
  <si>
    <t>P000004</t>
  </si>
  <si>
    <t>TRX0004</t>
  </si>
  <si>
    <t>CASO 1: BITÁCORA INTERACCIONES</t>
  </si>
  <si>
    <t>MAESTRA PRODUCTOS</t>
  </si>
  <si>
    <t>0001</t>
  </si>
  <si>
    <t>I00001</t>
  </si>
  <si>
    <t>T00001</t>
  </si>
  <si>
    <t>E0000012</t>
  </si>
  <si>
    <t>G0000004</t>
  </si>
  <si>
    <t>00000000</t>
  </si>
  <si>
    <t>09:12:11</t>
  </si>
  <si>
    <t>,,,</t>
  </si>
  <si>
    <t>P0000005</t>
  </si>
  <si>
    <t>Camiseta básica</t>
  </si>
  <si>
    <t>Activo</t>
  </si>
  <si>
    <t>0002</t>
  </si>
  <si>
    <t>E0000002</t>
  </si>
  <si>
    <t>G0000002</t>
  </si>
  <si>
    <t>09:13:12</t>
  </si>
  <si>
    <t>0003</t>
  </si>
  <si>
    <t>E0000003</t>
  </si>
  <si>
    <t>G0000006</t>
  </si>
  <si>
    <t>TRX0005</t>
  </si>
  <si>
    <t>09:13:47</t>
  </si>
  <si>
    <t>BITACORA VENTAS</t>
  </si>
  <si>
    <t>DETALLE VENTA</t>
  </si>
  <si>
    <t>CASO 2: BITACORA INTERACCIONES</t>
  </si>
  <si>
    <t>A</t>
  </si>
  <si>
    <t>C0000023</t>
  </si>
  <si>
    <t>I00002</t>
  </si>
  <si>
    <t>T00003</t>
  </si>
  <si>
    <t>17:20:11</t>
  </si>
  <si>
    <t>P0000024</t>
  </si>
  <si>
    <t>Pantalon gris</t>
  </si>
  <si>
    <t>P0000028</t>
  </si>
  <si>
    <t>Jean clásico</t>
  </si>
  <si>
    <t>E0000001</t>
  </si>
  <si>
    <t>G0000008</t>
  </si>
  <si>
    <t>17:21:11</t>
  </si>
  <si>
    <t>G0000011</t>
  </si>
  <si>
    <t>17:22:11</t>
  </si>
  <si>
    <t>0004</t>
  </si>
  <si>
    <t>E0000005</t>
  </si>
  <si>
    <t>G0000015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</si>
</sst>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1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theme="9"/>
        <bgColor theme="9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A2C4C9"/>
        <bgColor rgb="FFA2C4C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0" fillId="2" fontId="2" numFmtId="0" xfId="0" applyAlignment="1" applyFill="1" applyFont="1">
      <alignment readingOrder="0"/>
    </xf>
    <xf borderId="2" fillId="2" fontId="2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4" fillId="0" fontId="2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0" fillId="0" fontId="1" numFmtId="0" xfId="0" applyFont="1"/>
    <xf borderId="1" fillId="6" fontId="2" numFmtId="0" xfId="0" applyAlignment="1" applyBorder="1" applyFill="1" applyFont="1">
      <alignment horizontal="center" readingOrder="0"/>
    </xf>
    <xf borderId="3" fillId="0" fontId="2" numFmtId="0" xfId="0" applyAlignment="1" applyBorder="1" applyFont="1">
      <alignment readingOrder="0"/>
    </xf>
    <xf borderId="1" fillId="7" fontId="2" numFmtId="0" xfId="0" applyAlignment="1" applyBorder="1" applyFill="1" applyFont="1">
      <alignment horizontal="center" readingOrder="0"/>
    </xf>
    <xf borderId="3" fillId="7" fontId="2" numFmtId="0" xfId="0" applyAlignment="1" applyBorder="1" applyFill="1" applyFont="1">
      <alignment readingOrder="0" shrinkToFit="0" wrapText="1"/>
    </xf>
    <xf borderId="1" fillId="7" fontId="2" numFmtId="0" xfId="0" applyAlignment="1" applyBorder="1" applyFill="1" applyFont="1">
      <alignment readingOrder="0" shrinkToFit="0" wrapText="1"/>
    </xf>
    <xf borderId="3" fillId="7" fontId="2" numFmtId="0" xfId="0" applyAlignment="1" applyBorder="1" applyFill="1" applyFont="1">
      <alignment readingOrder="0"/>
    </xf>
    <xf borderId="1" fillId="7" fontId="2" numFmtId="49" xfId="0" applyAlignment="1" applyBorder="1" applyFill="1" applyFont="1" applyNumberFormat="1">
      <alignment horizontal="center" readingOrder="0"/>
    </xf>
    <xf borderId="4" fillId="7" fontId="2" numFmtId="0" xfId="0" applyAlignment="1" applyBorder="1" applyFill="1" applyFont="1">
      <alignment readingOrder="0"/>
    </xf>
    <xf borderId="0" fillId="0" fontId="2" numFmtId="0" xfId="0" applyAlignment="1" applyFont="1">
      <alignment horizontal="center" readingOrder="0"/>
    </xf>
    <xf borderId="1" fillId="7" fontId="2" numFmtId="0" xfId="0" applyAlignment="1" applyBorder="1" applyFill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readingOrder="0"/>
    </xf>
    <xf borderId="4" fillId="0" fontId="3" numFmtId="0" xfId="0" applyBorder="1" applyFont="1"/>
    <xf borderId="1" fillId="0" fontId="2" numFmtId="21" xfId="0" applyAlignment="1" applyBorder="1" applyFont="1" applyNumberFormat="1">
      <alignment horizontal="right" readingOrder="0"/>
    </xf>
    <xf borderId="1" fillId="0" fontId="2" numFmtId="164" xfId="0" applyAlignment="1" applyBorder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49" xfId="0" applyAlignment="1" applyFont="1" applyNumberFormat="1">
      <alignment readingOrder="0"/>
    </xf>
    <xf borderId="0" fillId="0" fontId="2" numFmtId="49" xfId="0" applyAlignment="1" applyFont="1" applyNumberFormat="1">
      <alignment horizontal="right" readingOrder="0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4" fontId="2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0" fillId="0" fontId="2" numFmtId="165" xfId="0" applyAlignment="1" applyFont="1" applyNumberFormat="1">
      <alignment readingOrder="0"/>
    </xf>
    <xf borderId="0" fillId="0" fontId="2" numFmtId="21" xfId="0" applyAlignment="1" applyFont="1" applyNumberFormat="1">
      <alignment readingOrder="0"/>
    </xf>
    <xf borderId="1" fillId="0" fontId="2" numFmtId="49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8" fontId="2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8" fontId="2" numFmtId="0" xfId="0" applyAlignment="1" applyBorder="1" applyFill="1" applyFont="1">
      <alignment readingOrder="0"/>
    </xf>
    <xf borderId="1" fillId="0" fontId="2" numFmtId="49" xfId="0" applyAlignment="1" applyBorder="1" applyFont="1" applyNumberFormat="1">
      <alignment horizontal="center" readingOrder="0"/>
    </xf>
    <xf borderId="1" fillId="9" fontId="2" numFmtId="0" xfId="0" applyAlignment="1" applyBorder="1" applyFill="1" applyFont="1">
      <alignment readingOrder="0"/>
    </xf>
    <xf borderId="1" fillId="0" fontId="2" numFmtId="21" xfId="0" applyAlignment="1" applyBorder="1" applyFont="1" applyNumberFormat="1">
      <alignment horizontal="center" readingOrder="0"/>
    </xf>
    <xf borderId="1" fillId="10" fontId="2" numFmtId="0" xfId="0" applyAlignment="1" applyBorder="1" applyFill="1" applyFont="1">
      <alignment readingOrder="0"/>
    </xf>
    <xf borderId="1" fillId="11" fontId="2" numFmtId="0" xfId="0" applyAlignment="1" applyBorder="1" applyFill="1" applyFont="1">
      <alignment readingOrder="0"/>
    </xf>
    <xf borderId="1" fillId="11" fontId="2" numFmtId="0" xfId="0" applyAlignment="1" applyBorder="1" applyFill="1" applyFont="1">
      <alignment readingOrder="0" shrinkToFit="0" wrapText="1"/>
    </xf>
    <xf borderId="0" fillId="7" fontId="2" numFmtId="0" xfId="0" applyFill="1" applyFont="1"/>
    <xf borderId="0" fillId="7" fontId="2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5" fontId="2" numFmtId="0" xfId="0" applyAlignment="1" applyFill="1" applyFont="1">
      <alignment readingOrder="0"/>
    </xf>
    <xf borderId="0" fillId="7" fontId="2" numFmtId="165" xfId="0" applyAlignment="1" applyFill="1" applyFont="1" applyNumberFormat="1">
      <alignment horizontal="center" readingOrder="0"/>
    </xf>
    <xf borderId="0" fillId="7" fontId="2" numFmtId="49" xfId="0" applyAlignment="1" applyFill="1" applyFont="1" applyNumberForma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5" fontId="2" numFmtId="21" xfId="0" applyAlignment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29125" cy="2762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123825</xdr:rowOff>
    </xdr:from>
    <xdr:ext cx="3457575" cy="2381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180975</xdr:rowOff>
    </xdr:from>
    <xdr:ext cx="4314825" cy="121920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  <col customWidth="1" min="4" max="4" width="23.75"/>
    <col customWidth="1" min="5" max="5" width="17.63"/>
    <col customWidth="1" min="6" max="6" width="19.88"/>
    <col customWidth="1" min="7" max="7" width="20.25"/>
    <col customWidth="1" min="8" max="8" width="23.63"/>
  </cols>
  <sheetData>
    <row r="5">
      <c r="H5" s="2" t="s">
        <v>1</v>
      </c>
    </row>
    <row r="6">
      <c r="D6" s="4" t="s">
        <v>3</v>
      </c>
      <c r="F6" s="2"/>
      <c r="H6" s="6" t="s">
        <v>6</v>
      </c>
    </row>
    <row r="7">
      <c r="B7" s="2" t="s">
        <v>8</v>
      </c>
      <c r="D7" s="7" t="s">
        <v>10</v>
      </c>
      <c r="F7" s="7"/>
      <c r="H7" s="6" t="s">
        <v>12</v>
      </c>
    </row>
    <row r="8">
      <c r="B8" s="7" t="s">
        <v>13</v>
      </c>
      <c r="D8" s="7" t="s">
        <v>14</v>
      </c>
      <c r="F8" s="7"/>
      <c r="H8" s="6" t="s">
        <v>15</v>
      </c>
    </row>
    <row r="9">
      <c r="B9" s="7" t="s">
        <v>17</v>
      </c>
      <c r="D9" s="7" t="s">
        <v>18</v>
      </c>
      <c r="F9" s="7"/>
      <c r="H9" s="6" t="s">
        <v>19</v>
      </c>
    </row>
    <row r="10">
      <c r="B10" s="7" t="s">
        <v>20</v>
      </c>
      <c r="D10" s="7" t="s">
        <v>22</v>
      </c>
      <c r="F10" s="10"/>
    </row>
    <row r="11">
      <c r="B11" s="7" t="s">
        <v>24</v>
      </c>
      <c r="D11" s="7" t="s">
        <v>26</v>
      </c>
    </row>
    <row r="12">
      <c r="B12" s="7" t="s">
        <v>27</v>
      </c>
      <c r="D12" s="10" t="s">
        <v>28</v>
      </c>
    </row>
    <row r="13">
      <c r="B13" s="10" t="s">
        <v>29</v>
      </c>
    </row>
    <row r="14">
      <c r="B14" s="8"/>
    </row>
    <row r="17">
      <c r="H17" s="4" t="s">
        <v>33</v>
      </c>
    </row>
    <row r="18">
      <c r="H18" s="7" t="s">
        <v>34</v>
      </c>
    </row>
    <row r="19">
      <c r="H19" s="7" t="s">
        <v>36</v>
      </c>
    </row>
    <row r="20">
      <c r="H20" s="7" t="s">
        <v>37</v>
      </c>
    </row>
    <row r="21">
      <c r="H21" s="7" t="s">
        <v>13</v>
      </c>
    </row>
    <row r="22">
      <c r="H22" s="7" t="s">
        <v>10</v>
      </c>
    </row>
    <row r="23">
      <c r="H23" s="7" t="s">
        <v>22</v>
      </c>
    </row>
    <row r="24">
      <c r="H24" s="7" t="s">
        <v>39</v>
      </c>
    </row>
    <row r="25">
      <c r="H25" s="7" t="s">
        <v>40</v>
      </c>
    </row>
    <row r="26">
      <c r="H26" s="7" t="s">
        <v>41</v>
      </c>
    </row>
    <row r="27">
      <c r="H27" s="7" t="s">
        <v>42</v>
      </c>
    </row>
    <row r="28">
      <c r="H28" s="10" t="s">
        <v>43</v>
      </c>
    </row>
    <row r="30">
      <c r="D30" s="4" t="s">
        <v>44</v>
      </c>
    </row>
    <row r="31">
      <c r="D31" s="15" t="s">
        <v>16</v>
      </c>
    </row>
    <row r="32">
      <c r="D32" s="15" t="s">
        <v>31</v>
      </c>
    </row>
    <row r="33">
      <c r="D33" s="17" t="s">
        <v>47</v>
      </c>
    </row>
    <row r="34">
      <c r="D34" s="15" t="s">
        <v>48</v>
      </c>
    </row>
    <row r="35">
      <c r="D35" s="15" t="s">
        <v>50</v>
      </c>
    </row>
    <row r="36">
      <c r="D36" s="19" t="s">
        <v>54</v>
      </c>
    </row>
    <row r="37">
      <c r="D37" s="21" t="s">
        <v>57</v>
      </c>
    </row>
    <row r="38">
      <c r="D38" s="22"/>
    </row>
    <row r="43">
      <c r="H43" s="9" t="s">
        <v>34</v>
      </c>
    </row>
    <row r="44">
      <c r="H44" s="9" t="s">
        <v>36</v>
      </c>
    </row>
    <row r="45">
      <c r="H45" s="9" t="s">
        <v>13</v>
      </c>
    </row>
    <row r="46">
      <c r="H46" s="9" t="s">
        <v>10</v>
      </c>
    </row>
    <row r="47">
      <c r="H47" s="9" t="s">
        <v>40</v>
      </c>
    </row>
    <row r="48">
      <c r="H48" s="9" t="s">
        <v>41</v>
      </c>
    </row>
    <row r="49">
      <c r="H49" s="9" t="s">
        <v>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4" max="4" width="16.75"/>
    <col customWidth="1" min="5" max="5" width="16.25"/>
    <col customWidth="1" min="6" max="6" width="18.25"/>
    <col customWidth="1" min="7" max="7" width="25.63"/>
    <col customWidth="1" min="9" max="9" width="14.13"/>
    <col customWidth="1" min="10" max="10" width="20.75"/>
    <col customWidth="1" min="11" max="11" width="14.0"/>
    <col customWidth="1" min="12" max="12" width="14.25"/>
    <col customWidth="1" min="15" max="15" width="18.63"/>
    <col customWidth="1" min="16" max="16" width="24.13"/>
    <col customWidth="1" min="18" max="18" width="14.75"/>
  </cols>
  <sheetData>
    <row r="4">
      <c r="J4" s="1" t="s">
        <v>0</v>
      </c>
    </row>
    <row r="5">
      <c r="J5" s="3" t="s">
        <v>2</v>
      </c>
    </row>
    <row r="6">
      <c r="J6" s="5" t="s">
        <v>4</v>
      </c>
      <c r="K6" s="5" t="s">
        <v>5</v>
      </c>
      <c r="L6" s="5" t="s">
        <v>7</v>
      </c>
      <c r="M6" s="5" t="s">
        <v>9</v>
      </c>
      <c r="O6" s="8" t="s">
        <v>11</v>
      </c>
    </row>
    <row r="7">
      <c r="J7" s="9" t="s">
        <v>16</v>
      </c>
      <c r="K7" s="6" t="s">
        <v>21</v>
      </c>
      <c r="L7" s="6">
        <v>8.0</v>
      </c>
      <c r="M7" s="6" t="s">
        <v>23</v>
      </c>
      <c r="O7" s="11" t="s">
        <v>25</v>
      </c>
      <c r="P7" s="6" t="s">
        <v>2</v>
      </c>
    </row>
    <row r="8">
      <c r="J8" s="9" t="s">
        <v>31</v>
      </c>
      <c r="K8" s="6" t="s">
        <v>32</v>
      </c>
      <c r="L8" s="6">
        <v>20.0</v>
      </c>
      <c r="M8" s="12" t="s">
        <v>35</v>
      </c>
      <c r="O8" s="14" t="s">
        <v>38</v>
      </c>
      <c r="P8" s="16" t="s">
        <v>45</v>
      </c>
    </row>
    <row r="9">
      <c r="J9" s="18" t="s">
        <v>47</v>
      </c>
      <c r="K9" s="6" t="s">
        <v>49</v>
      </c>
      <c r="L9" s="6">
        <v>8.0</v>
      </c>
      <c r="M9" s="6" t="s">
        <v>51</v>
      </c>
      <c r="O9" s="14" t="s">
        <v>53</v>
      </c>
      <c r="P9" s="20" t="s">
        <v>55</v>
      </c>
    </row>
    <row r="10">
      <c r="J10" s="9" t="s">
        <v>48</v>
      </c>
      <c r="K10" s="6" t="s">
        <v>59</v>
      </c>
      <c r="L10" s="6">
        <v>4.0</v>
      </c>
      <c r="M10" s="6" t="s">
        <v>51</v>
      </c>
      <c r="O10" s="14" t="s">
        <v>61</v>
      </c>
      <c r="P10" s="16">
        <v>1024.0</v>
      </c>
    </row>
    <row r="11">
      <c r="J11" s="9" t="s">
        <v>50</v>
      </c>
      <c r="K11" s="6" t="s">
        <v>59</v>
      </c>
      <c r="L11" s="6">
        <v>4.0</v>
      </c>
      <c r="M11" s="6" t="s">
        <v>51</v>
      </c>
      <c r="O11" s="14" t="s">
        <v>64</v>
      </c>
      <c r="P11" s="16" t="s">
        <v>65</v>
      </c>
    </row>
    <row r="12">
      <c r="J12" s="8" t="s">
        <v>66</v>
      </c>
    </row>
    <row r="13">
      <c r="J13" s="23" t="s">
        <v>54</v>
      </c>
      <c r="K13" s="6" t="s">
        <v>59</v>
      </c>
      <c r="L13" s="6">
        <v>4.0</v>
      </c>
      <c r="M13" s="6" t="s">
        <v>51</v>
      </c>
    </row>
    <row r="14">
      <c r="A14" s="1" t="s">
        <v>71</v>
      </c>
      <c r="J14" s="23" t="s">
        <v>57</v>
      </c>
      <c r="K14" s="6" t="s">
        <v>21</v>
      </c>
      <c r="L14" s="6">
        <v>1.0</v>
      </c>
      <c r="M14" s="6" t="s">
        <v>51</v>
      </c>
    </row>
    <row r="15">
      <c r="A15" s="3" t="s">
        <v>73</v>
      </c>
    </row>
    <row r="16">
      <c r="A16" s="5" t="s">
        <v>4</v>
      </c>
      <c r="B16" s="5" t="s">
        <v>5</v>
      </c>
      <c r="C16" s="5" t="s">
        <v>7</v>
      </c>
      <c r="D16" s="5" t="s">
        <v>9</v>
      </c>
    </row>
    <row r="17">
      <c r="A17" s="25" t="s">
        <v>34</v>
      </c>
      <c r="B17" s="6" t="s">
        <v>21</v>
      </c>
      <c r="C17" s="6">
        <v>1.0</v>
      </c>
      <c r="D17" s="26" t="s">
        <v>23</v>
      </c>
    </row>
    <row r="18">
      <c r="A18" s="25" t="s">
        <v>36</v>
      </c>
      <c r="B18" s="6" t="s">
        <v>59</v>
      </c>
      <c r="C18" s="6">
        <v>4.0</v>
      </c>
      <c r="D18" s="28"/>
      <c r="F18" s="11" t="s">
        <v>25</v>
      </c>
      <c r="G18" s="6" t="s">
        <v>73</v>
      </c>
      <c r="J18" s="3" t="s">
        <v>84</v>
      </c>
    </row>
    <row r="19">
      <c r="A19" s="25" t="s">
        <v>13</v>
      </c>
      <c r="B19" s="6" t="s">
        <v>21</v>
      </c>
      <c r="C19" s="6">
        <v>8.0</v>
      </c>
      <c r="D19" s="26" t="s">
        <v>35</v>
      </c>
      <c r="F19" s="14" t="s">
        <v>38</v>
      </c>
      <c r="G19" s="16" t="s">
        <v>91</v>
      </c>
      <c r="J19" s="5" t="s">
        <v>4</v>
      </c>
      <c r="K19" s="5" t="s">
        <v>5</v>
      </c>
      <c r="L19" s="5" t="s">
        <v>7</v>
      </c>
      <c r="M19" s="5" t="s">
        <v>9</v>
      </c>
    </row>
    <row r="20">
      <c r="A20" s="25" t="s">
        <v>92</v>
      </c>
      <c r="B20" s="6" t="s">
        <v>49</v>
      </c>
      <c r="C20" s="6">
        <v>6.0</v>
      </c>
      <c r="D20" s="28"/>
      <c r="F20" s="14" t="s">
        <v>53</v>
      </c>
      <c r="G20" s="20" t="s">
        <v>95</v>
      </c>
      <c r="J20" s="9" t="s">
        <v>13</v>
      </c>
      <c r="K20" s="6" t="s">
        <v>21</v>
      </c>
      <c r="L20" s="6">
        <v>8.0</v>
      </c>
      <c r="M20" s="6" t="s">
        <v>23</v>
      </c>
    </row>
    <row r="21">
      <c r="A21" s="9" t="s">
        <v>24</v>
      </c>
      <c r="B21" s="6" t="s">
        <v>21</v>
      </c>
      <c r="C21" s="6">
        <v>4.0</v>
      </c>
      <c r="D21" s="6" t="s">
        <v>100</v>
      </c>
      <c r="F21" s="14" t="s">
        <v>61</v>
      </c>
      <c r="G21" s="16">
        <v>512.0</v>
      </c>
      <c r="J21" s="9" t="s">
        <v>103</v>
      </c>
      <c r="K21" s="6" t="s">
        <v>32</v>
      </c>
      <c r="L21" s="6">
        <v>20.0</v>
      </c>
      <c r="M21" s="6" t="s">
        <v>35</v>
      </c>
      <c r="O21" s="11" t="s">
        <v>25</v>
      </c>
      <c r="P21" s="6" t="s">
        <v>84</v>
      </c>
    </row>
    <row r="22">
      <c r="A22" s="25" t="s">
        <v>10</v>
      </c>
      <c r="B22" s="6" t="s">
        <v>21</v>
      </c>
      <c r="C22" s="6">
        <v>8.0</v>
      </c>
      <c r="D22" s="6" t="s">
        <v>100</v>
      </c>
      <c r="F22" s="14" t="s">
        <v>64</v>
      </c>
      <c r="G22" s="16" t="s">
        <v>105</v>
      </c>
      <c r="J22" s="9" t="s">
        <v>107</v>
      </c>
      <c r="K22" s="6" t="s">
        <v>49</v>
      </c>
      <c r="L22" s="6">
        <v>8.0</v>
      </c>
      <c r="M22" s="6" t="s">
        <v>51</v>
      </c>
      <c r="O22" s="14" t="s">
        <v>38</v>
      </c>
      <c r="P22" s="16" t="s">
        <v>45</v>
      </c>
    </row>
    <row r="23">
      <c r="A23" s="25" t="s">
        <v>22</v>
      </c>
      <c r="B23" s="6" t="s">
        <v>21</v>
      </c>
      <c r="C23" s="6">
        <v>8.0</v>
      </c>
      <c r="D23" s="6" t="s">
        <v>100</v>
      </c>
      <c r="J23" s="9" t="s">
        <v>110</v>
      </c>
      <c r="K23" s="6" t="s">
        <v>59</v>
      </c>
      <c r="L23" s="6">
        <v>7.0</v>
      </c>
      <c r="M23" s="6" t="s">
        <v>51</v>
      </c>
      <c r="O23" s="14" t="s">
        <v>53</v>
      </c>
      <c r="P23" s="20" t="s">
        <v>113</v>
      </c>
    </row>
    <row r="24">
      <c r="A24" s="25" t="s">
        <v>39</v>
      </c>
      <c r="B24" s="6" t="s">
        <v>21</v>
      </c>
      <c r="C24" s="6">
        <v>8.0</v>
      </c>
      <c r="D24" s="6" t="s">
        <v>100</v>
      </c>
      <c r="J24" s="9" t="s">
        <v>114</v>
      </c>
      <c r="K24" s="6" t="s">
        <v>59</v>
      </c>
      <c r="L24" s="6">
        <v>6.0</v>
      </c>
      <c r="M24" s="6" t="s">
        <v>51</v>
      </c>
      <c r="O24" s="14" t="s">
        <v>61</v>
      </c>
      <c r="P24" s="16">
        <v>512.0</v>
      </c>
    </row>
    <row r="25">
      <c r="A25" s="25" t="s">
        <v>40</v>
      </c>
      <c r="B25" s="6" t="s">
        <v>21</v>
      </c>
      <c r="C25" s="6">
        <v>4.0</v>
      </c>
      <c r="D25" s="6" t="s">
        <v>51</v>
      </c>
      <c r="J25" s="9" t="s">
        <v>117</v>
      </c>
      <c r="K25" s="6" t="s">
        <v>49</v>
      </c>
      <c r="L25" s="6">
        <v>8.0</v>
      </c>
      <c r="M25" s="6" t="s">
        <v>51</v>
      </c>
      <c r="O25" s="14" t="s">
        <v>64</v>
      </c>
      <c r="P25" s="16" t="s">
        <v>105</v>
      </c>
    </row>
    <row r="26">
      <c r="A26" s="25" t="s">
        <v>41</v>
      </c>
      <c r="B26" s="6" t="s">
        <v>49</v>
      </c>
      <c r="C26" s="6">
        <v>8.0</v>
      </c>
      <c r="D26" s="6" t="s">
        <v>51</v>
      </c>
      <c r="J26" s="9" t="s">
        <v>118</v>
      </c>
      <c r="K26" s="6" t="s">
        <v>21</v>
      </c>
      <c r="L26" s="6">
        <v>1.0</v>
      </c>
      <c r="M26" s="6" t="s">
        <v>51</v>
      </c>
    </row>
    <row r="27">
      <c r="A27" s="25" t="s">
        <v>42</v>
      </c>
      <c r="B27" s="6" t="s">
        <v>49</v>
      </c>
      <c r="C27" s="6">
        <v>8.0</v>
      </c>
      <c r="D27" s="6" t="s">
        <v>51</v>
      </c>
    </row>
    <row r="28">
      <c r="A28" s="25" t="s">
        <v>43</v>
      </c>
      <c r="B28" s="6" t="s">
        <v>119</v>
      </c>
      <c r="C28" s="6">
        <v>2.0</v>
      </c>
      <c r="D28" s="6" t="s">
        <v>51</v>
      </c>
    </row>
    <row r="32">
      <c r="J32" s="3" t="s">
        <v>120</v>
      </c>
    </row>
    <row r="33">
      <c r="A33" s="3" t="s">
        <v>121</v>
      </c>
      <c r="J33" s="5" t="s">
        <v>4</v>
      </c>
      <c r="K33" s="5" t="s">
        <v>5</v>
      </c>
      <c r="L33" s="5" t="s">
        <v>7</v>
      </c>
      <c r="M33" s="5" t="s">
        <v>9</v>
      </c>
    </row>
    <row r="34">
      <c r="A34" s="5" t="s">
        <v>4</v>
      </c>
      <c r="B34" s="5" t="s">
        <v>5</v>
      </c>
      <c r="C34" s="5" t="s">
        <v>7</v>
      </c>
      <c r="D34" s="5" t="s">
        <v>9</v>
      </c>
      <c r="J34" s="9" t="s">
        <v>10</v>
      </c>
      <c r="K34" s="6" t="s">
        <v>21</v>
      </c>
      <c r="L34" s="6">
        <v>8.0</v>
      </c>
      <c r="M34" s="6" t="s">
        <v>23</v>
      </c>
      <c r="O34" s="11" t="s">
        <v>25</v>
      </c>
      <c r="P34" s="6" t="s">
        <v>120</v>
      </c>
    </row>
    <row r="35">
      <c r="A35" s="9" t="s">
        <v>34</v>
      </c>
      <c r="B35" s="34" t="str">
        <f t="shared" ref="B35:B37" si="1">VLOOKUP(A35, 'Hoja 1'!$A$43:$D$57, 2, FALSE)</f>
        <v>#REF!</v>
      </c>
      <c r="C35" s="6">
        <v>1.0</v>
      </c>
      <c r="D35" s="26" t="s">
        <v>23</v>
      </c>
      <c r="F35" s="36" t="s">
        <v>25</v>
      </c>
      <c r="G35" s="6" t="s">
        <v>121</v>
      </c>
      <c r="J35" s="9" t="s">
        <v>14</v>
      </c>
      <c r="K35" s="6" t="s">
        <v>32</v>
      </c>
      <c r="L35" s="6">
        <v>20.0</v>
      </c>
      <c r="M35" s="6" t="s">
        <v>35</v>
      </c>
      <c r="O35" s="14" t="s">
        <v>38</v>
      </c>
      <c r="P35" s="16" t="s">
        <v>45</v>
      </c>
    </row>
    <row r="36">
      <c r="A36" s="9" t="s">
        <v>36</v>
      </c>
      <c r="B36" s="34" t="str">
        <f t="shared" si="1"/>
        <v>#REF!</v>
      </c>
      <c r="C36" s="6">
        <v>4.0</v>
      </c>
      <c r="D36" s="28"/>
      <c r="F36" s="37" t="s">
        <v>38</v>
      </c>
      <c r="G36" s="16" t="s">
        <v>91</v>
      </c>
      <c r="J36" s="9" t="s">
        <v>24</v>
      </c>
      <c r="K36" s="6" t="s">
        <v>21</v>
      </c>
      <c r="L36" s="6">
        <v>6.0</v>
      </c>
      <c r="M36" s="6" t="s">
        <v>144</v>
      </c>
      <c r="O36" s="14" t="s">
        <v>53</v>
      </c>
      <c r="P36" s="20" t="s">
        <v>145</v>
      </c>
    </row>
    <row r="37">
      <c r="A37" s="9" t="s">
        <v>13</v>
      </c>
      <c r="B37" s="34" t="str">
        <f t="shared" si="1"/>
        <v>#REF!</v>
      </c>
      <c r="C37" s="6">
        <v>8.0</v>
      </c>
      <c r="D37" s="38" t="s">
        <v>35</v>
      </c>
      <c r="F37" s="37" t="s">
        <v>53</v>
      </c>
      <c r="G37" s="20" t="s">
        <v>146</v>
      </c>
      <c r="J37" s="9" t="s">
        <v>147</v>
      </c>
      <c r="K37" s="6" t="s">
        <v>59</v>
      </c>
      <c r="L37" s="6">
        <v>4.0</v>
      </c>
      <c r="M37" s="6" t="s">
        <v>51</v>
      </c>
      <c r="O37" s="14" t="s">
        <v>61</v>
      </c>
      <c r="P37" s="16">
        <v>1536.0</v>
      </c>
    </row>
    <row r="38">
      <c r="A38" s="9" t="s">
        <v>39</v>
      </c>
      <c r="B38" s="9" t="s">
        <v>21</v>
      </c>
      <c r="C38" s="9">
        <v>8.0</v>
      </c>
      <c r="D38" s="9" t="s">
        <v>100</v>
      </c>
      <c r="E38" s="8" t="s">
        <v>100</v>
      </c>
      <c r="F38" s="37" t="s">
        <v>61</v>
      </c>
      <c r="G38" s="16">
        <v>1024.0</v>
      </c>
      <c r="J38" s="9" t="s">
        <v>148</v>
      </c>
      <c r="K38" s="6" t="s">
        <v>59</v>
      </c>
      <c r="L38" s="6">
        <v>4.0</v>
      </c>
      <c r="M38" s="6" t="s">
        <v>51</v>
      </c>
      <c r="O38" s="14" t="s">
        <v>64</v>
      </c>
      <c r="P38" s="16" t="s">
        <v>149</v>
      </c>
    </row>
    <row r="39">
      <c r="A39" s="9" t="s">
        <v>68</v>
      </c>
      <c r="B39" s="9" t="s">
        <v>59</v>
      </c>
      <c r="C39" s="9">
        <v>3.0</v>
      </c>
      <c r="D39" s="9" t="s">
        <v>150</v>
      </c>
      <c r="F39" s="37" t="s">
        <v>64</v>
      </c>
      <c r="G39" s="16" t="s">
        <v>151</v>
      </c>
      <c r="J39" s="9" t="s">
        <v>19</v>
      </c>
      <c r="K39" s="6" t="s">
        <v>21</v>
      </c>
      <c r="L39" s="6">
        <v>1.0</v>
      </c>
      <c r="M39" s="6" t="s">
        <v>51</v>
      </c>
    </row>
    <row r="40">
      <c r="A40" s="9" t="s">
        <v>10</v>
      </c>
      <c r="B40" s="34" t="str">
        <f t="shared" ref="B40:B43" si="2">VLOOKUP(A40, 'Hoja 1'!$A$43:$D$57, 2, FALSE)</f>
        <v>#REF!</v>
      </c>
      <c r="C40" s="6">
        <v>8.0</v>
      </c>
      <c r="D40" s="38" t="s">
        <v>100</v>
      </c>
    </row>
    <row r="41">
      <c r="A41" s="9" t="s">
        <v>40</v>
      </c>
      <c r="B41" s="34" t="str">
        <f t="shared" si="2"/>
        <v>#REF!</v>
      </c>
      <c r="C41" s="6">
        <v>4.0</v>
      </c>
      <c r="D41" s="38" t="s">
        <v>51</v>
      </c>
    </row>
    <row r="42">
      <c r="A42" s="9" t="s">
        <v>41</v>
      </c>
      <c r="B42" s="34" t="str">
        <f t="shared" si="2"/>
        <v>#REF!</v>
      </c>
      <c r="C42" s="6">
        <v>8.0</v>
      </c>
      <c r="D42" s="38" t="s">
        <v>51</v>
      </c>
      <c r="J42" s="8" t="s">
        <v>152</v>
      </c>
    </row>
    <row r="43">
      <c r="A43" s="9" t="s">
        <v>42</v>
      </c>
      <c r="B43" s="34" t="str">
        <f t="shared" si="2"/>
        <v>#REF!</v>
      </c>
      <c r="C43" s="6">
        <v>8.0</v>
      </c>
      <c r="D43" s="38" t="s">
        <v>51</v>
      </c>
      <c r="J43" s="8" t="s">
        <v>153</v>
      </c>
    </row>
    <row r="44">
      <c r="J44" s="8" t="s">
        <v>154</v>
      </c>
    </row>
    <row r="45">
      <c r="J45" s="8" t="s">
        <v>155</v>
      </c>
    </row>
    <row r="46">
      <c r="A46" s="3" t="s">
        <v>156</v>
      </c>
    </row>
    <row r="47">
      <c r="A47" s="5" t="s">
        <v>4</v>
      </c>
      <c r="B47" s="5" t="s">
        <v>5</v>
      </c>
      <c r="C47" s="5" t="s">
        <v>7</v>
      </c>
      <c r="D47" s="5" t="s">
        <v>9</v>
      </c>
    </row>
    <row r="48">
      <c r="A48" s="9" t="s">
        <v>157</v>
      </c>
      <c r="B48" s="6" t="s">
        <v>21</v>
      </c>
      <c r="C48" s="6">
        <v>1.0</v>
      </c>
      <c r="D48" s="26" t="s">
        <v>23</v>
      </c>
      <c r="F48" s="36" t="s">
        <v>25</v>
      </c>
      <c r="G48" s="6" t="s">
        <v>156</v>
      </c>
    </row>
    <row r="49">
      <c r="A49" s="9" t="s">
        <v>36</v>
      </c>
      <c r="B49" s="6" t="s">
        <v>59</v>
      </c>
      <c r="C49" s="6">
        <v>4.0</v>
      </c>
      <c r="D49" s="39"/>
      <c r="F49" s="37" t="s">
        <v>38</v>
      </c>
      <c r="G49" s="16" t="s">
        <v>91</v>
      </c>
    </row>
    <row r="50">
      <c r="A50" s="9" t="s">
        <v>16</v>
      </c>
      <c r="B50" s="6" t="s">
        <v>21</v>
      </c>
      <c r="C50" s="6">
        <v>8.0</v>
      </c>
      <c r="D50" s="28"/>
      <c r="F50" s="37" t="s">
        <v>53</v>
      </c>
      <c r="G50" s="20" t="s">
        <v>158</v>
      </c>
    </row>
    <row r="51">
      <c r="A51" s="9" t="s">
        <v>68</v>
      </c>
      <c r="B51" s="6" t="s">
        <v>59</v>
      </c>
      <c r="C51" s="6">
        <v>4.0</v>
      </c>
      <c r="D51" s="6" t="s">
        <v>51</v>
      </c>
      <c r="F51" s="37" t="s">
        <v>61</v>
      </c>
      <c r="G51" s="16">
        <v>512.0</v>
      </c>
    </row>
    <row r="52">
      <c r="F52" s="37" t="s">
        <v>64</v>
      </c>
      <c r="G52" s="16" t="s">
        <v>159</v>
      </c>
    </row>
    <row r="69">
      <c r="F69" s="8" t="s">
        <v>160</v>
      </c>
      <c r="G69" s="8">
        <v>1.0</v>
      </c>
      <c r="H69" s="8" t="s">
        <v>161</v>
      </c>
      <c r="I69" s="40">
        <v>45812.0</v>
      </c>
      <c r="J69" s="8" t="s">
        <v>162</v>
      </c>
      <c r="K69" s="8" t="s">
        <v>79</v>
      </c>
      <c r="L69" s="8" t="s">
        <v>163</v>
      </c>
      <c r="M69" s="32" t="s">
        <v>164</v>
      </c>
      <c r="N69" s="8" t="s">
        <v>165</v>
      </c>
      <c r="O69" s="41">
        <v>0.3759837962962963</v>
      </c>
      <c r="P69" s="8">
        <v>60.0</v>
      </c>
    </row>
    <row r="70">
      <c r="F70" s="8" t="s">
        <v>160</v>
      </c>
      <c r="G70" s="8">
        <v>2.0</v>
      </c>
      <c r="H70" s="8" t="s">
        <v>161</v>
      </c>
      <c r="I70" s="40">
        <v>45812.0</v>
      </c>
      <c r="J70" s="8" t="s">
        <v>162</v>
      </c>
      <c r="K70" s="8" t="s">
        <v>166</v>
      </c>
      <c r="L70" s="8" t="s">
        <v>167</v>
      </c>
      <c r="M70" s="8" t="s">
        <v>168</v>
      </c>
      <c r="N70" s="8" t="s">
        <v>169</v>
      </c>
      <c r="O70" s="41">
        <v>0.3786689814814815</v>
      </c>
      <c r="P70" s="8">
        <v>75.0</v>
      </c>
    </row>
    <row r="71">
      <c r="F71" s="8" t="s">
        <v>160</v>
      </c>
      <c r="G71" s="8">
        <v>3.0</v>
      </c>
      <c r="H71" s="8" t="s">
        <v>161</v>
      </c>
      <c r="I71" s="40">
        <v>45812.0</v>
      </c>
      <c r="J71" s="8" t="s">
        <v>162</v>
      </c>
      <c r="K71" s="8" t="s">
        <v>171</v>
      </c>
      <c r="L71" s="8" t="s">
        <v>172</v>
      </c>
      <c r="M71" s="8" t="s">
        <v>173</v>
      </c>
      <c r="N71" s="8" t="s">
        <v>174</v>
      </c>
      <c r="O71" s="41">
        <v>0.3802083333333333</v>
      </c>
      <c r="P71" s="8">
        <v>90.0</v>
      </c>
    </row>
    <row r="72">
      <c r="F72" s="8" t="s">
        <v>160</v>
      </c>
      <c r="G72" s="8">
        <v>4.0</v>
      </c>
      <c r="H72" s="8" t="s">
        <v>161</v>
      </c>
      <c r="I72" s="40">
        <v>45812.0</v>
      </c>
      <c r="J72" s="8" t="s">
        <v>162</v>
      </c>
      <c r="K72" s="8" t="s">
        <v>171</v>
      </c>
      <c r="L72" s="8" t="s">
        <v>175</v>
      </c>
      <c r="M72" s="8" t="s">
        <v>176</v>
      </c>
      <c r="N72" s="8" t="s">
        <v>177</v>
      </c>
      <c r="O72" s="41">
        <v>0.3818287037037037</v>
      </c>
      <c r="P72" s="8">
        <v>100.0</v>
      </c>
    </row>
    <row r="76">
      <c r="B76" s="8"/>
    </row>
    <row r="77">
      <c r="B77" s="1" t="s">
        <v>178</v>
      </c>
    </row>
    <row r="78">
      <c r="P78" s="1" t="s">
        <v>179</v>
      </c>
    </row>
    <row r="79">
      <c r="B79" s="2" t="s">
        <v>34</v>
      </c>
      <c r="C79" s="2" t="s">
        <v>36</v>
      </c>
      <c r="D79" s="2" t="s">
        <v>13</v>
      </c>
      <c r="E79" s="2" t="s">
        <v>92</v>
      </c>
      <c r="F79" s="2" t="s">
        <v>24</v>
      </c>
      <c r="G79" s="2" t="s">
        <v>10</v>
      </c>
      <c r="H79" s="2" t="s">
        <v>22</v>
      </c>
      <c r="I79" s="2" t="s">
        <v>16</v>
      </c>
      <c r="J79" s="2" t="s">
        <v>40</v>
      </c>
      <c r="K79" s="2" t="s">
        <v>41</v>
      </c>
      <c r="L79" s="2" t="s">
        <v>42</v>
      </c>
      <c r="M79" s="2" t="s">
        <v>43</v>
      </c>
    </row>
    <row r="80">
      <c r="B80" s="6" t="s">
        <v>160</v>
      </c>
      <c r="C80" s="42" t="s">
        <v>180</v>
      </c>
      <c r="D80" s="6" t="s">
        <v>83</v>
      </c>
      <c r="E80" s="6" t="s">
        <v>181</v>
      </c>
      <c r="F80" s="6" t="s">
        <v>182</v>
      </c>
      <c r="G80" s="42" t="s">
        <v>183</v>
      </c>
      <c r="H80" s="6" t="s">
        <v>184</v>
      </c>
      <c r="I80" s="42" t="s">
        <v>185</v>
      </c>
      <c r="J80" s="6" t="s">
        <v>174</v>
      </c>
      <c r="K80" s="43">
        <v>45812.0</v>
      </c>
      <c r="L80" s="42" t="s">
        <v>186</v>
      </c>
      <c r="M80" s="6">
        <v>70.0</v>
      </c>
      <c r="P80" s="44" t="s">
        <v>16</v>
      </c>
      <c r="Q80" s="44" t="s">
        <v>31</v>
      </c>
      <c r="R80" s="44" t="s">
        <v>47</v>
      </c>
      <c r="S80" s="44" t="s">
        <v>48</v>
      </c>
      <c r="T80" s="44" t="s">
        <v>50</v>
      </c>
      <c r="U80" s="44" t="s">
        <v>54</v>
      </c>
      <c r="V80" s="44" t="s">
        <v>57</v>
      </c>
    </row>
    <row r="81">
      <c r="B81" s="45" t="s">
        <v>102</v>
      </c>
      <c r="C81" s="45" t="s">
        <v>102</v>
      </c>
      <c r="D81" s="45" t="s">
        <v>102</v>
      </c>
      <c r="E81" s="45" t="s">
        <v>102</v>
      </c>
      <c r="F81" s="6" t="s">
        <v>187</v>
      </c>
      <c r="G81" s="45" t="s">
        <v>102</v>
      </c>
      <c r="H81" s="45" t="s">
        <v>102</v>
      </c>
      <c r="I81" s="45" t="s">
        <v>102</v>
      </c>
      <c r="J81" s="45" t="s">
        <v>102</v>
      </c>
      <c r="K81" s="45" t="s">
        <v>102</v>
      </c>
      <c r="L81" s="45" t="s">
        <v>102</v>
      </c>
      <c r="M81" s="45" t="s">
        <v>102</v>
      </c>
      <c r="P81" s="6" t="s">
        <v>102</v>
      </c>
      <c r="Q81" s="6" t="s">
        <v>102</v>
      </c>
      <c r="R81" s="6" t="s">
        <v>102</v>
      </c>
      <c r="S81" s="6" t="s">
        <v>102</v>
      </c>
      <c r="T81" s="6" t="s">
        <v>102</v>
      </c>
      <c r="U81" s="6" t="s">
        <v>102</v>
      </c>
      <c r="V81" s="6" t="s">
        <v>102</v>
      </c>
    </row>
    <row r="82">
      <c r="B82" s="45" t="s">
        <v>102</v>
      </c>
      <c r="C82" s="45" t="s">
        <v>102</v>
      </c>
      <c r="D82" s="45" t="s">
        <v>102</v>
      </c>
      <c r="E82" s="45" t="s">
        <v>102</v>
      </c>
      <c r="F82" s="46" t="s">
        <v>102</v>
      </c>
      <c r="G82" s="45" t="s">
        <v>102</v>
      </c>
      <c r="H82" s="45" t="s">
        <v>102</v>
      </c>
      <c r="I82" s="45" t="s">
        <v>102</v>
      </c>
      <c r="J82" s="45" t="s">
        <v>102</v>
      </c>
      <c r="K82" s="45" t="s">
        <v>102</v>
      </c>
      <c r="L82" s="45" t="s">
        <v>102</v>
      </c>
      <c r="M82" s="45" t="s">
        <v>102</v>
      </c>
      <c r="P82" s="6" t="s">
        <v>188</v>
      </c>
      <c r="Q82" s="6" t="s">
        <v>189</v>
      </c>
      <c r="R82" s="43">
        <v>45048.0</v>
      </c>
      <c r="S82" s="6">
        <v>50.0</v>
      </c>
      <c r="T82" s="6">
        <v>150.0</v>
      </c>
      <c r="U82" s="6">
        <v>18.0</v>
      </c>
      <c r="V82" s="6" t="s">
        <v>190</v>
      </c>
    </row>
    <row r="83">
      <c r="B83" s="45" t="s">
        <v>102</v>
      </c>
      <c r="C83" s="45" t="s">
        <v>102</v>
      </c>
      <c r="D83" s="45" t="s">
        <v>102</v>
      </c>
      <c r="E83" s="45" t="s">
        <v>102</v>
      </c>
      <c r="F83" s="45" t="s">
        <v>102</v>
      </c>
      <c r="G83" s="45" t="s">
        <v>102</v>
      </c>
      <c r="H83" s="45" t="s">
        <v>102</v>
      </c>
      <c r="I83" s="45" t="s">
        <v>102</v>
      </c>
      <c r="J83" s="45" t="s">
        <v>102</v>
      </c>
      <c r="K83" s="45" t="s">
        <v>102</v>
      </c>
      <c r="L83" s="45" t="s">
        <v>102</v>
      </c>
      <c r="M83" s="45" t="s">
        <v>102</v>
      </c>
      <c r="P83" s="6" t="s">
        <v>102</v>
      </c>
      <c r="Q83" s="6" t="s">
        <v>102</v>
      </c>
      <c r="R83" s="6" t="s">
        <v>102</v>
      </c>
      <c r="S83" s="6" t="s">
        <v>102</v>
      </c>
      <c r="T83" s="6" t="s">
        <v>102</v>
      </c>
      <c r="U83" s="6" t="s">
        <v>102</v>
      </c>
      <c r="V83" s="6" t="s">
        <v>102</v>
      </c>
    </row>
    <row r="86">
      <c r="B86" s="2" t="s">
        <v>34</v>
      </c>
      <c r="C86" s="2" t="s">
        <v>36</v>
      </c>
      <c r="D86" s="2" t="s">
        <v>13</v>
      </c>
      <c r="E86" s="2" t="s">
        <v>92</v>
      </c>
      <c r="F86" s="2" t="s">
        <v>24</v>
      </c>
      <c r="G86" s="2" t="s">
        <v>10</v>
      </c>
      <c r="H86" s="2" t="s">
        <v>22</v>
      </c>
      <c r="I86" s="2" t="s">
        <v>16</v>
      </c>
      <c r="J86" s="2" t="s">
        <v>40</v>
      </c>
      <c r="K86" s="2" t="s">
        <v>41</v>
      </c>
      <c r="L86" s="2" t="s">
        <v>42</v>
      </c>
      <c r="M86" s="2" t="s">
        <v>43</v>
      </c>
      <c r="P86" s="44" t="s">
        <v>16</v>
      </c>
      <c r="Q86" s="44" t="s">
        <v>31</v>
      </c>
      <c r="R86" s="44" t="s">
        <v>47</v>
      </c>
      <c r="S86" s="44" t="s">
        <v>48</v>
      </c>
      <c r="T86" s="44" t="s">
        <v>50</v>
      </c>
      <c r="U86" s="44" t="s">
        <v>54</v>
      </c>
      <c r="V86" s="47" t="s">
        <v>57</v>
      </c>
    </row>
    <row r="87">
      <c r="B87" s="6" t="s">
        <v>160</v>
      </c>
      <c r="C87" s="42" t="s">
        <v>180</v>
      </c>
      <c r="D87" s="6" t="s">
        <v>83</v>
      </c>
      <c r="E87" s="6" t="s">
        <v>181</v>
      </c>
      <c r="F87" s="6" t="s">
        <v>182</v>
      </c>
      <c r="G87" s="42" t="s">
        <v>183</v>
      </c>
      <c r="H87" s="6" t="s">
        <v>184</v>
      </c>
      <c r="I87" s="42" t="s">
        <v>185</v>
      </c>
      <c r="J87" s="6" t="s">
        <v>174</v>
      </c>
      <c r="K87" s="43">
        <v>45812.0</v>
      </c>
      <c r="L87" s="42" t="s">
        <v>186</v>
      </c>
      <c r="M87" s="6">
        <v>70.0</v>
      </c>
      <c r="P87" s="6" t="s">
        <v>102</v>
      </c>
      <c r="Q87" s="6" t="s">
        <v>102</v>
      </c>
      <c r="R87" s="6" t="s">
        <v>102</v>
      </c>
      <c r="S87" s="6" t="s">
        <v>102</v>
      </c>
      <c r="T87" s="6" t="s">
        <v>102</v>
      </c>
      <c r="U87" s="6" t="s">
        <v>102</v>
      </c>
      <c r="V87" s="6" t="s">
        <v>102</v>
      </c>
    </row>
    <row r="88">
      <c r="B88" s="6" t="s">
        <v>160</v>
      </c>
      <c r="C88" s="42" t="s">
        <v>191</v>
      </c>
      <c r="D88" s="6" t="s">
        <v>83</v>
      </c>
      <c r="E88" s="6" t="s">
        <v>181</v>
      </c>
      <c r="F88" s="6" t="s">
        <v>182</v>
      </c>
      <c r="G88" s="6" t="s">
        <v>192</v>
      </c>
      <c r="H88" s="6" t="s">
        <v>193</v>
      </c>
      <c r="I88" s="6" t="s">
        <v>188</v>
      </c>
      <c r="J88" s="6" t="s">
        <v>177</v>
      </c>
      <c r="K88" s="43">
        <v>45812.0</v>
      </c>
      <c r="L88" s="42" t="s">
        <v>194</v>
      </c>
      <c r="M88" s="6">
        <v>90.0</v>
      </c>
      <c r="P88" s="6" t="s">
        <v>188</v>
      </c>
      <c r="Q88" s="6" t="s">
        <v>189</v>
      </c>
      <c r="R88" s="43">
        <v>45048.0</v>
      </c>
      <c r="S88" s="6">
        <v>50.0</v>
      </c>
      <c r="T88" s="6">
        <v>150.0</v>
      </c>
      <c r="U88" s="6">
        <v>19.0</v>
      </c>
      <c r="V88" s="6" t="s">
        <v>190</v>
      </c>
    </row>
    <row r="89">
      <c r="B89" s="45" t="s">
        <v>102</v>
      </c>
      <c r="C89" s="45" t="s">
        <v>102</v>
      </c>
      <c r="D89" s="45" t="s">
        <v>102</v>
      </c>
      <c r="E89" s="45" t="s">
        <v>102</v>
      </c>
      <c r="F89" s="46" t="s">
        <v>102</v>
      </c>
      <c r="H89" s="45" t="s">
        <v>102</v>
      </c>
      <c r="I89" s="45" t="s">
        <v>102</v>
      </c>
      <c r="J89" s="45" t="s">
        <v>102</v>
      </c>
      <c r="K89" s="45" t="s">
        <v>102</v>
      </c>
      <c r="L89" s="45" t="s">
        <v>102</v>
      </c>
      <c r="M89" s="45" t="s">
        <v>102</v>
      </c>
      <c r="P89" s="6" t="s">
        <v>102</v>
      </c>
      <c r="Q89" s="6" t="s">
        <v>102</v>
      </c>
      <c r="R89" s="6" t="s">
        <v>102</v>
      </c>
      <c r="S89" s="6" t="s">
        <v>102</v>
      </c>
      <c r="T89" s="6" t="s">
        <v>102</v>
      </c>
      <c r="U89" s="6" t="s">
        <v>102</v>
      </c>
      <c r="V89" s="6" t="s">
        <v>102</v>
      </c>
    </row>
    <row r="90">
      <c r="B90" s="45" t="s">
        <v>102</v>
      </c>
      <c r="C90" s="45" t="s">
        <v>102</v>
      </c>
      <c r="D90" s="45" t="s">
        <v>102</v>
      </c>
      <c r="E90" s="45" t="s">
        <v>102</v>
      </c>
      <c r="F90" s="45" t="s">
        <v>102</v>
      </c>
      <c r="G90" s="45" t="s">
        <v>102</v>
      </c>
      <c r="H90" s="45" t="s">
        <v>102</v>
      </c>
      <c r="I90" s="45" t="s">
        <v>102</v>
      </c>
      <c r="J90" s="45" t="s">
        <v>102</v>
      </c>
      <c r="K90" s="45" t="s">
        <v>102</v>
      </c>
      <c r="L90" s="45" t="s">
        <v>102</v>
      </c>
      <c r="M90" s="45" t="s">
        <v>102</v>
      </c>
    </row>
    <row r="91">
      <c r="P91" s="47" t="s">
        <v>16</v>
      </c>
      <c r="Q91" s="47" t="s">
        <v>31</v>
      </c>
      <c r="R91" s="44" t="s">
        <v>47</v>
      </c>
      <c r="S91" s="47" t="s">
        <v>48</v>
      </c>
      <c r="T91" s="47" t="s">
        <v>50</v>
      </c>
      <c r="U91" s="47" t="s">
        <v>54</v>
      </c>
      <c r="V91" s="47" t="s">
        <v>57</v>
      </c>
    </row>
    <row r="92">
      <c r="P92" s="6" t="s">
        <v>102</v>
      </c>
      <c r="Q92" s="6" t="s">
        <v>102</v>
      </c>
      <c r="R92" s="6" t="s">
        <v>102</v>
      </c>
      <c r="S92" s="6" t="s">
        <v>102</v>
      </c>
      <c r="T92" s="6" t="s">
        <v>102</v>
      </c>
      <c r="U92" s="6" t="s">
        <v>102</v>
      </c>
      <c r="V92" s="6" t="s">
        <v>102</v>
      </c>
    </row>
    <row r="93">
      <c r="B93" s="2" t="s">
        <v>34</v>
      </c>
      <c r="C93" s="2" t="s">
        <v>36</v>
      </c>
      <c r="D93" s="2" t="s">
        <v>13</v>
      </c>
      <c r="E93" s="2" t="s">
        <v>92</v>
      </c>
      <c r="F93" s="2" t="s">
        <v>24</v>
      </c>
      <c r="G93" s="2" t="s">
        <v>10</v>
      </c>
      <c r="H93" s="2" t="s">
        <v>22</v>
      </c>
      <c r="I93" s="2" t="s">
        <v>16</v>
      </c>
      <c r="J93" s="2" t="s">
        <v>40</v>
      </c>
      <c r="K93" s="2" t="s">
        <v>41</v>
      </c>
      <c r="L93" s="2" t="s">
        <v>42</v>
      </c>
      <c r="M93" s="2" t="s">
        <v>43</v>
      </c>
      <c r="P93" s="6" t="s">
        <v>188</v>
      </c>
      <c r="Q93" s="6" t="s">
        <v>189</v>
      </c>
      <c r="R93" s="43">
        <v>45048.0</v>
      </c>
      <c r="S93" s="6">
        <v>49.0</v>
      </c>
      <c r="T93" s="6">
        <v>151.0</v>
      </c>
      <c r="U93" s="6">
        <v>19.0</v>
      </c>
      <c r="V93" s="6" t="s">
        <v>190</v>
      </c>
    </row>
    <row r="94">
      <c r="B94" s="6" t="s">
        <v>160</v>
      </c>
      <c r="C94" s="42" t="s">
        <v>180</v>
      </c>
      <c r="D94" s="6" t="s">
        <v>83</v>
      </c>
      <c r="E94" s="6" t="s">
        <v>181</v>
      </c>
      <c r="F94" s="6" t="s">
        <v>182</v>
      </c>
      <c r="G94" s="42" t="s">
        <v>183</v>
      </c>
      <c r="H94" s="6" t="s">
        <v>184</v>
      </c>
      <c r="I94" s="42" t="s">
        <v>185</v>
      </c>
      <c r="J94" s="6" t="s">
        <v>174</v>
      </c>
      <c r="K94" s="43">
        <v>45812.0</v>
      </c>
      <c r="L94" s="42" t="s">
        <v>186</v>
      </c>
      <c r="M94" s="6">
        <v>70.0</v>
      </c>
      <c r="P94" s="6" t="s">
        <v>102</v>
      </c>
      <c r="Q94" s="6" t="s">
        <v>102</v>
      </c>
      <c r="R94" s="6" t="s">
        <v>102</v>
      </c>
      <c r="S94" s="6" t="s">
        <v>102</v>
      </c>
      <c r="T94" s="6" t="s">
        <v>102</v>
      </c>
      <c r="U94" s="6" t="s">
        <v>102</v>
      </c>
      <c r="V94" s="6" t="s">
        <v>102</v>
      </c>
    </row>
    <row r="95">
      <c r="B95" s="6" t="s">
        <v>160</v>
      </c>
      <c r="C95" s="42" t="s">
        <v>191</v>
      </c>
      <c r="D95" s="6" t="s">
        <v>83</v>
      </c>
      <c r="E95" s="6" t="s">
        <v>181</v>
      </c>
      <c r="F95" s="6" t="s">
        <v>182</v>
      </c>
      <c r="G95" s="6" t="s">
        <v>192</v>
      </c>
      <c r="H95" s="6" t="s">
        <v>193</v>
      </c>
      <c r="I95" s="6" t="s">
        <v>188</v>
      </c>
      <c r="J95" s="6" t="s">
        <v>177</v>
      </c>
      <c r="K95" s="43">
        <v>45812.0</v>
      </c>
      <c r="L95" s="42" t="s">
        <v>194</v>
      </c>
      <c r="M95" s="6">
        <v>90.0</v>
      </c>
    </row>
    <row r="96">
      <c r="B96" s="6" t="s">
        <v>160</v>
      </c>
      <c r="C96" s="42" t="s">
        <v>195</v>
      </c>
      <c r="D96" s="6" t="s">
        <v>83</v>
      </c>
      <c r="E96" s="6" t="s">
        <v>181</v>
      </c>
      <c r="F96" s="6" t="s">
        <v>182</v>
      </c>
      <c r="G96" s="6" t="s">
        <v>196</v>
      </c>
      <c r="H96" s="48" t="s">
        <v>197</v>
      </c>
      <c r="I96" s="6" t="s">
        <v>188</v>
      </c>
      <c r="J96" s="6" t="s">
        <v>198</v>
      </c>
      <c r="K96" s="43">
        <v>45812.0</v>
      </c>
      <c r="L96" s="42" t="s">
        <v>199</v>
      </c>
      <c r="M96" s="6">
        <v>100.0</v>
      </c>
    </row>
    <row r="97">
      <c r="B97" s="45" t="s">
        <v>102</v>
      </c>
      <c r="C97" s="45" t="s">
        <v>102</v>
      </c>
      <c r="D97" s="45" t="s">
        <v>102</v>
      </c>
      <c r="E97" s="45" t="s">
        <v>102</v>
      </c>
      <c r="F97" s="45" t="s">
        <v>102</v>
      </c>
      <c r="G97" s="45" t="s">
        <v>102</v>
      </c>
      <c r="H97" s="45" t="s">
        <v>102</v>
      </c>
      <c r="I97" s="45" t="s">
        <v>102</v>
      </c>
      <c r="J97" s="45" t="s">
        <v>102</v>
      </c>
      <c r="K97" s="45" t="s">
        <v>102</v>
      </c>
      <c r="L97" s="45" t="s">
        <v>102</v>
      </c>
      <c r="M97" s="45" t="s">
        <v>102</v>
      </c>
    </row>
    <row r="98">
      <c r="B98" s="45" t="s">
        <v>102</v>
      </c>
      <c r="C98" s="45" t="s">
        <v>102</v>
      </c>
      <c r="D98" s="45" t="s">
        <v>102</v>
      </c>
      <c r="E98" s="45" t="s">
        <v>102</v>
      </c>
      <c r="F98" s="45" t="s">
        <v>102</v>
      </c>
      <c r="G98" s="45" t="s">
        <v>102</v>
      </c>
      <c r="H98" s="45" t="s">
        <v>102</v>
      </c>
      <c r="I98" s="45" t="s">
        <v>102</v>
      </c>
      <c r="J98" s="45" t="s">
        <v>102</v>
      </c>
      <c r="K98" s="45" t="s">
        <v>102</v>
      </c>
      <c r="L98" s="45" t="s">
        <v>102</v>
      </c>
      <c r="M98" s="45" t="s">
        <v>102</v>
      </c>
    </row>
    <row r="101">
      <c r="B101" s="1" t="s">
        <v>200</v>
      </c>
    </row>
    <row r="102">
      <c r="B102" s="49" t="s">
        <v>34</v>
      </c>
      <c r="C102" s="49" t="s">
        <v>36</v>
      </c>
      <c r="D102" s="49" t="s">
        <v>13</v>
      </c>
      <c r="E102" s="49" t="s">
        <v>10</v>
      </c>
      <c r="F102" s="49" t="s">
        <v>40</v>
      </c>
      <c r="G102" s="49" t="s">
        <v>41</v>
      </c>
      <c r="H102" s="49" t="s">
        <v>42</v>
      </c>
    </row>
    <row r="103">
      <c r="B103" s="6" t="s">
        <v>160</v>
      </c>
      <c r="C103" s="42" t="s">
        <v>180</v>
      </c>
      <c r="D103" s="6" t="s">
        <v>83</v>
      </c>
      <c r="E103" s="6" t="s">
        <v>196</v>
      </c>
      <c r="F103" s="6" t="s">
        <v>198</v>
      </c>
      <c r="G103" s="43">
        <v>45812.0</v>
      </c>
      <c r="H103" s="50">
        <v>0.38457175925925924</v>
      </c>
    </row>
    <row r="104">
      <c r="B104" s="45" t="s">
        <v>102</v>
      </c>
      <c r="C104" s="45" t="s">
        <v>102</v>
      </c>
      <c r="D104" s="45" t="s">
        <v>102</v>
      </c>
      <c r="E104" s="45" t="s">
        <v>102</v>
      </c>
      <c r="F104" s="45" t="s">
        <v>102</v>
      </c>
      <c r="G104" s="45" t="s">
        <v>102</v>
      </c>
      <c r="H104" s="45" t="s">
        <v>102</v>
      </c>
    </row>
    <row r="106">
      <c r="B106" s="1" t="s">
        <v>201</v>
      </c>
    </row>
    <row r="107">
      <c r="B107" s="51" t="s">
        <v>157</v>
      </c>
      <c r="C107" s="51" t="s">
        <v>36</v>
      </c>
      <c r="D107" s="51" t="s">
        <v>16</v>
      </c>
      <c r="E107" s="51" t="s">
        <v>68</v>
      </c>
    </row>
    <row r="108">
      <c r="B108" s="6" t="s">
        <v>160</v>
      </c>
      <c r="C108" s="42" t="s">
        <v>180</v>
      </c>
      <c r="D108" s="6" t="s">
        <v>188</v>
      </c>
      <c r="E108" s="6">
        <v>1.0</v>
      </c>
    </row>
    <row r="109">
      <c r="B109" s="45" t="s">
        <v>102</v>
      </c>
      <c r="C109" s="45" t="s">
        <v>102</v>
      </c>
      <c r="D109" s="45" t="s">
        <v>102</v>
      </c>
      <c r="E109" s="45" t="s">
        <v>102</v>
      </c>
    </row>
    <row r="129">
      <c r="B129" s="1" t="s">
        <v>202</v>
      </c>
    </row>
    <row r="130">
      <c r="P130" s="1" t="s">
        <v>179</v>
      </c>
    </row>
    <row r="131">
      <c r="B131" s="2" t="s">
        <v>34</v>
      </c>
      <c r="C131" s="2" t="s">
        <v>36</v>
      </c>
      <c r="D131" s="2" t="s">
        <v>13</v>
      </c>
      <c r="E131" s="2" t="s">
        <v>92</v>
      </c>
      <c r="F131" s="2" t="s">
        <v>24</v>
      </c>
      <c r="G131" s="2" t="s">
        <v>10</v>
      </c>
      <c r="H131" s="2" t="s">
        <v>22</v>
      </c>
      <c r="I131" s="2" t="s">
        <v>16</v>
      </c>
      <c r="J131" s="2" t="s">
        <v>40</v>
      </c>
      <c r="K131" s="2" t="s">
        <v>41</v>
      </c>
      <c r="L131" s="2" t="s">
        <v>42</v>
      </c>
      <c r="M131" s="2" t="s">
        <v>43</v>
      </c>
    </row>
    <row r="132">
      <c r="B132" s="45" t="s">
        <v>102</v>
      </c>
      <c r="C132" s="45" t="s">
        <v>102</v>
      </c>
      <c r="D132" s="45" t="s">
        <v>102</v>
      </c>
      <c r="E132" s="45" t="s">
        <v>102</v>
      </c>
      <c r="F132" s="45" t="s">
        <v>102</v>
      </c>
      <c r="G132" s="45" t="s">
        <v>102</v>
      </c>
      <c r="H132" s="45" t="s">
        <v>102</v>
      </c>
      <c r="I132" s="45" t="s">
        <v>102</v>
      </c>
      <c r="J132" s="45" t="s">
        <v>102</v>
      </c>
      <c r="K132" s="45" t="s">
        <v>102</v>
      </c>
      <c r="L132" s="45" t="s">
        <v>102</v>
      </c>
      <c r="M132" s="45" t="s">
        <v>102</v>
      </c>
      <c r="P132" s="52" t="s">
        <v>16</v>
      </c>
      <c r="Q132" s="52" t="s">
        <v>31</v>
      </c>
      <c r="R132" s="53" t="s">
        <v>47</v>
      </c>
      <c r="S132" s="52" t="s">
        <v>48</v>
      </c>
      <c r="T132" s="52" t="s">
        <v>50</v>
      </c>
      <c r="U132" s="52" t="s">
        <v>54</v>
      </c>
      <c r="V132" s="52" t="s">
        <v>57</v>
      </c>
    </row>
    <row r="133">
      <c r="B133" s="6" t="s">
        <v>203</v>
      </c>
      <c r="C133" s="42" t="s">
        <v>180</v>
      </c>
      <c r="D133" s="6" t="s">
        <v>204</v>
      </c>
      <c r="E133" s="6" t="s">
        <v>205</v>
      </c>
      <c r="F133" s="6" t="s">
        <v>206</v>
      </c>
      <c r="G133" s="6" t="s">
        <v>183</v>
      </c>
      <c r="H133" s="6" t="s">
        <v>184</v>
      </c>
      <c r="I133" s="42" t="s">
        <v>185</v>
      </c>
      <c r="J133" s="6" t="s">
        <v>174</v>
      </c>
      <c r="K133" s="43">
        <v>45803.0</v>
      </c>
      <c r="L133" s="42" t="s">
        <v>207</v>
      </c>
      <c r="M133" s="6">
        <v>30.0</v>
      </c>
      <c r="P133" s="6" t="s">
        <v>102</v>
      </c>
      <c r="Q133" s="6" t="s">
        <v>102</v>
      </c>
      <c r="R133" s="6" t="s">
        <v>102</v>
      </c>
      <c r="S133" s="6" t="s">
        <v>102</v>
      </c>
      <c r="T133" s="6" t="s">
        <v>102</v>
      </c>
      <c r="U133" s="6" t="s">
        <v>102</v>
      </c>
      <c r="V133" s="6" t="s">
        <v>102</v>
      </c>
    </row>
    <row r="134">
      <c r="B134" s="45" t="s">
        <v>102</v>
      </c>
      <c r="C134" s="45" t="s">
        <v>102</v>
      </c>
      <c r="D134" s="45" t="s">
        <v>102</v>
      </c>
      <c r="E134" s="46" t="s">
        <v>102</v>
      </c>
      <c r="F134" s="46" t="s">
        <v>102</v>
      </c>
      <c r="G134" s="45" t="s">
        <v>102</v>
      </c>
      <c r="H134" s="45" t="s">
        <v>102</v>
      </c>
      <c r="I134" s="45" t="s">
        <v>102</v>
      </c>
      <c r="J134" s="45" t="s">
        <v>102</v>
      </c>
      <c r="K134" s="45" t="s">
        <v>102</v>
      </c>
      <c r="L134" s="45" t="s">
        <v>102</v>
      </c>
      <c r="M134" s="45" t="s">
        <v>102</v>
      </c>
      <c r="P134" s="6" t="s">
        <v>208</v>
      </c>
      <c r="Q134" s="6" t="s">
        <v>209</v>
      </c>
      <c r="R134" s="43">
        <v>45690.0</v>
      </c>
      <c r="S134" s="6">
        <v>33.0</v>
      </c>
      <c r="T134" s="6">
        <v>120.0</v>
      </c>
      <c r="U134" s="6">
        <v>20.0</v>
      </c>
      <c r="V134" s="6" t="s">
        <v>190</v>
      </c>
    </row>
    <row r="135">
      <c r="B135" s="45" t="s">
        <v>102</v>
      </c>
      <c r="C135" s="45" t="s">
        <v>102</v>
      </c>
      <c r="D135" s="45" t="s">
        <v>102</v>
      </c>
      <c r="E135" s="45" t="s">
        <v>102</v>
      </c>
      <c r="F135" s="45" t="s">
        <v>102</v>
      </c>
      <c r="G135" s="45" t="s">
        <v>102</v>
      </c>
      <c r="H135" s="45" t="s">
        <v>102</v>
      </c>
      <c r="I135" s="45" t="s">
        <v>102</v>
      </c>
      <c r="J135" s="45" t="s">
        <v>102</v>
      </c>
      <c r="K135" s="45" t="s">
        <v>102</v>
      </c>
      <c r="L135" s="45" t="s">
        <v>102</v>
      </c>
      <c r="M135" s="45" t="s">
        <v>102</v>
      </c>
      <c r="P135" s="6" t="s">
        <v>210</v>
      </c>
      <c r="Q135" s="6" t="s">
        <v>211</v>
      </c>
      <c r="R135" s="43">
        <v>45690.0</v>
      </c>
      <c r="S135" s="6">
        <v>18.0</v>
      </c>
      <c r="T135" s="6">
        <v>160.0</v>
      </c>
      <c r="U135" s="6">
        <v>37.0</v>
      </c>
      <c r="V135" s="6" t="s">
        <v>190</v>
      </c>
    </row>
    <row r="136">
      <c r="P136" s="6" t="s">
        <v>102</v>
      </c>
      <c r="Q136" s="6" t="s">
        <v>102</v>
      </c>
      <c r="R136" s="6" t="s">
        <v>102</v>
      </c>
      <c r="S136" s="6" t="s">
        <v>102</v>
      </c>
      <c r="T136" s="6" t="s">
        <v>102</v>
      </c>
      <c r="U136" s="6" t="s">
        <v>102</v>
      </c>
      <c r="V136" s="6" t="s">
        <v>102</v>
      </c>
    </row>
    <row r="137">
      <c r="B137" s="2" t="s">
        <v>34</v>
      </c>
      <c r="C137" s="2" t="s">
        <v>36</v>
      </c>
      <c r="D137" s="2" t="s">
        <v>13</v>
      </c>
      <c r="E137" s="2" t="s">
        <v>92</v>
      </c>
      <c r="F137" s="2" t="s">
        <v>24</v>
      </c>
      <c r="G137" s="2" t="s">
        <v>10</v>
      </c>
      <c r="H137" s="2" t="s">
        <v>22</v>
      </c>
      <c r="I137" s="2" t="s">
        <v>16</v>
      </c>
      <c r="J137" s="2" t="s">
        <v>40</v>
      </c>
      <c r="K137" s="2" t="s">
        <v>41</v>
      </c>
      <c r="L137" s="2" t="s">
        <v>42</v>
      </c>
      <c r="M137" s="2" t="s">
        <v>43</v>
      </c>
    </row>
    <row r="138">
      <c r="B138" s="45" t="s">
        <v>102</v>
      </c>
      <c r="C138" s="45" t="s">
        <v>102</v>
      </c>
      <c r="D138" s="45" t="s">
        <v>102</v>
      </c>
      <c r="E138" s="45" t="s">
        <v>102</v>
      </c>
      <c r="F138" s="46" t="s">
        <v>102</v>
      </c>
      <c r="G138" s="45" t="s">
        <v>102</v>
      </c>
      <c r="H138" s="45" t="s">
        <v>102</v>
      </c>
      <c r="I138" s="45" t="s">
        <v>102</v>
      </c>
      <c r="J138" s="45" t="s">
        <v>102</v>
      </c>
      <c r="K138" s="45" t="s">
        <v>102</v>
      </c>
      <c r="L138" s="45" t="s">
        <v>102</v>
      </c>
      <c r="M138" s="45" t="s">
        <v>102</v>
      </c>
    </row>
    <row r="139">
      <c r="B139" s="6" t="s">
        <v>203</v>
      </c>
      <c r="C139" s="42" t="s">
        <v>180</v>
      </c>
      <c r="D139" s="6" t="s">
        <v>204</v>
      </c>
      <c r="E139" s="6" t="s">
        <v>205</v>
      </c>
      <c r="F139" s="6" t="s">
        <v>206</v>
      </c>
      <c r="G139" s="6" t="s">
        <v>183</v>
      </c>
      <c r="H139" s="6" t="s">
        <v>184</v>
      </c>
      <c r="I139" s="42" t="s">
        <v>185</v>
      </c>
      <c r="J139" s="6" t="s">
        <v>174</v>
      </c>
      <c r="K139" s="43">
        <v>45803.0</v>
      </c>
      <c r="L139" s="42" t="s">
        <v>207</v>
      </c>
      <c r="M139" s="6">
        <v>30.0</v>
      </c>
      <c r="P139" s="52" t="s">
        <v>16</v>
      </c>
      <c r="Q139" s="52" t="s">
        <v>31</v>
      </c>
      <c r="R139" s="53" t="s">
        <v>47</v>
      </c>
      <c r="S139" s="52" t="s">
        <v>48</v>
      </c>
      <c r="T139" s="52" t="s">
        <v>50</v>
      </c>
      <c r="U139" s="52" t="s">
        <v>54</v>
      </c>
      <c r="V139" s="52" t="s">
        <v>57</v>
      </c>
    </row>
    <row r="140">
      <c r="B140" s="6" t="s">
        <v>203</v>
      </c>
      <c r="C140" s="42" t="s">
        <v>191</v>
      </c>
      <c r="D140" s="6" t="s">
        <v>204</v>
      </c>
      <c r="E140" s="6" t="s">
        <v>205</v>
      </c>
      <c r="F140" s="6" t="s">
        <v>206</v>
      </c>
      <c r="G140" s="42" t="s">
        <v>212</v>
      </c>
      <c r="H140" s="6" t="s">
        <v>213</v>
      </c>
      <c r="I140" s="6" t="s">
        <v>208</v>
      </c>
      <c r="J140" s="6" t="s">
        <v>174</v>
      </c>
      <c r="K140" s="43">
        <v>45803.0</v>
      </c>
      <c r="L140" s="42" t="s">
        <v>214</v>
      </c>
      <c r="M140" s="6">
        <v>80.0</v>
      </c>
      <c r="P140" s="6" t="s">
        <v>102</v>
      </c>
      <c r="Q140" s="6" t="s">
        <v>102</v>
      </c>
      <c r="R140" s="6" t="s">
        <v>102</v>
      </c>
      <c r="S140" s="6" t="s">
        <v>102</v>
      </c>
      <c r="T140" s="6" t="s">
        <v>102</v>
      </c>
      <c r="U140" s="6" t="s">
        <v>102</v>
      </c>
      <c r="V140" s="6" t="s">
        <v>102</v>
      </c>
    </row>
    <row r="141">
      <c r="B141" s="45" t="s">
        <v>102</v>
      </c>
      <c r="C141" s="45" t="s">
        <v>102</v>
      </c>
      <c r="D141" s="45" t="s">
        <v>102</v>
      </c>
      <c r="E141" s="45" t="s">
        <v>102</v>
      </c>
      <c r="F141" s="45" t="s">
        <v>102</v>
      </c>
      <c r="G141" s="45" t="s">
        <v>102</v>
      </c>
      <c r="H141" s="45" t="s">
        <v>102</v>
      </c>
      <c r="I141" s="45" t="s">
        <v>102</v>
      </c>
      <c r="J141" s="45" t="s">
        <v>102</v>
      </c>
      <c r="K141" s="45" t="s">
        <v>102</v>
      </c>
      <c r="L141" s="45" t="s">
        <v>102</v>
      </c>
      <c r="M141" s="45" t="s">
        <v>102</v>
      </c>
      <c r="P141" s="6" t="s">
        <v>208</v>
      </c>
      <c r="Q141" s="6" t="s">
        <v>209</v>
      </c>
      <c r="R141" s="43">
        <v>45690.0</v>
      </c>
      <c r="S141" s="6">
        <v>33.0</v>
      </c>
      <c r="T141" s="6">
        <v>120.0</v>
      </c>
      <c r="U141" s="6">
        <v>21.0</v>
      </c>
      <c r="V141" s="6" t="s">
        <v>190</v>
      </c>
    </row>
    <row r="142">
      <c r="B142" s="45" t="s">
        <v>102</v>
      </c>
      <c r="C142" s="45" t="s">
        <v>102</v>
      </c>
      <c r="D142" s="45" t="s">
        <v>102</v>
      </c>
      <c r="E142" s="45" t="s">
        <v>102</v>
      </c>
      <c r="F142" s="45" t="s">
        <v>102</v>
      </c>
      <c r="G142" s="45" t="s">
        <v>102</v>
      </c>
      <c r="H142" s="45" t="s">
        <v>102</v>
      </c>
      <c r="I142" s="45" t="s">
        <v>102</v>
      </c>
      <c r="J142" s="45" t="s">
        <v>102</v>
      </c>
      <c r="K142" s="45" t="s">
        <v>102</v>
      </c>
      <c r="L142" s="45" t="s">
        <v>102</v>
      </c>
      <c r="M142" s="45" t="s">
        <v>102</v>
      </c>
      <c r="P142" s="6" t="s">
        <v>210</v>
      </c>
      <c r="Q142" s="6" t="s">
        <v>211</v>
      </c>
      <c r="R142" s="43">
        <v>45690.0</v>
      </c>
      <c r="S142" s="6">
        <v>18.0</v>
      </c>
      <c r="T142" s="6">
        <v>160.0</v>
      </c>
      <c r="U142" s="6">
        <v>37.0</v>
      </c>
      <c r="V142" s="6" t="s">
        <v>190</v>
      </c>
    </row>
    <row r="143">
      <c r="P143" s="6" t="s">
        <v>102</v>
      </c>
      <c r="Q143" s="6" t="s">
        <v>102</v>
      </c>
      <c r="R143" s="6" t="s">
        <v>102</v>
      </c>
      <c r="S143" s="6" t="s">
        <v>102</v>
      </c>
      <c r="T143" s="6" t="s">
        <v>102</v>
      </c>
      <c r="U143" s="6" t="s">
        <v>102</v>
      </c>
      <c r="V143" s="6" t="s">
        <v>102</v>
      </c>
    </row>
    <row r="144">
      <c r="B144" s="2" t="s">
        <v>34</v>
      </c>
      <c r="C144" s="2" t="s">
        <v>36</v>
      </c>
      <c r="D144" s="2" t="s">
        <v>13</v>
      </c>
      <c r="E144" s="2" t="s">
        <v>92</v>
      </c>
      <c r="F144" s="2" t="s">
        <v>24</v>
      </c>
      <c r="G144" s="2" t="s">
        <v>10</v>
      </c>
      <c r="H144" s="2" t="s">
        <v>22</v>
      </c>
      <c r="I144" s="2" t="s">
        <v>16</v>
      </c>
      <c r="J144" s="2" t="s">
        <v>40</v>
      </c>
      <c r="K144" s="2" t="s">
        <v>41</v>
      </c>
      <c r="L144" s="2" t="s">
        <v>42</v>
      </c>
      <c r="M144" s="2" t="s">
        <v>43</v>
      </c>
    </row>
    <row r="145">
      <c r="B145" s="45" t="s">
        <v>102</v>
      </c>
      <c r="C145" s="45" t="s">
        <v>102</v>
      </c>
      <c r="D145" s="45" t="s">
        <v>102</v>
      </c>
      <c r="E145" s="45" t="s">
        <v>102</v>
      </c>
      <c r="F145" s="46" t="s">
        <v>102</v>
      </c>
      <c r="G145" s="45" t="s">
        <v>102</v>
      </c>
      <c r="H145" s="45" t="s">
        <v>102</v>
      </c>
      <c r="I145" s="45" t="s">
        <v>102</v>
      </c>
      <c r="J145" s="45" t="s">
        <v>102</v>
      </c>
      <c r="K145" s="45" t="s">
        <v>102</v>
      </c>
      <c r="L145" s="45" t="s">
        <v>102</v>
      </c>
      <c r="M145" s="45" t="s">
        <v>102</v>
      </c>
    </row>
    <row r="146">
      <c r="B146" s="6" t="s">
        <v>203</v>
      </c>
      <c r="C146" s="42" t="s">
        <v>180</v>
      </c>
      <c r="D146" s="6" t="s">
        <v>204</v>
      </c>
      <c r="E146" s="6" t="s">
        <v>205</v>
      </c>
      <c r="F146" s="6" t="s">
        <v>206</v>
      </c>
      <c r="G146" s="6" t="s">
        <v>183</v>
      </c>
      <c r="H146" s="6" t="s">
        <v>184</v>
      </c>
      <c r="I146" s="42" t="s">
        <v>185</v>
      </c>
      <c r="J146" s="6" t="s">
        <v>174</v>
      </c>
      <c r="K146" s="43">
        <v>45803.0</v>
      </c>
      <c r="L146" s="42" t="s">
        <v>207</v>
      </c>
      <c r="M146" s="6">
        <v>30.0</v>
      </c>
      <c r="P146" s="52" t="s">
        <v>16</v>
      </c>
      <c r="Q146" s="52" t="s">
        <v>31</v>
      </c>
      <c r="R146" s="53" t="s">
        <v>47</v>
      </c>
      <c r="S146" s="52" t="s">
        <v>48</v>
      </c>
      <c r="T146" s="52" t="s">
        <v>50</v>
      </c>
      <c r="U146" s="52" t="s">
        <v>54</v>
      </c>
      <c r="V146" s="52" t="s">
        <v>57</v>
      </c>
    </row>
    <row r="147">
      <c r="B147" s="6" t="s">
        <v>203</v>
      </c>
      <c r="C147" s="42" t="s">
        <v>191</v>
      </c>
      <c r="D147" s="6" t="s">
        <v>204</v>
      </c>
      <c r="E147" s="6" t="s">
        <v>205</v>
      </c>
      <c r="F147" s="6" t="s">
        <v>206</v>
      </c>
      <c r="G147" s="42" t="s">
        <v>212</v>
      </c>
      <c r="H147" s="6" t="s">
        <v>213</v>
      </c>
      <c r="I147" s="6" t="s">
        <v>208</v>
      </c>
      <c r="J147" s="6" t="s">
        <v>174</v>
      </c>
      <c r="K147" s="43">
        <v>45803.0</v>
      </c>
      <c r="L147" s="42" t="s">
        <v>214</v>
      </c>
      <c r="M147" s="6">
        <v>80.0</v>
      </c>
      <c r="P147" s="6" t="s">
        <v>102</v>
      </c>
      <c r="Q147" s="6" t="s">
        <v>102</v>
      </c>
      <c r="R147" s="6" t="s">
        <v>102</v>
      </c>
      <c r="S147" s="6" t="s">
        <v>102</v>
      </c>
      <c r="T147" s="6" t="s">
        <v>102</v>
      </c>
      <c r="U147" s="6" t="s">
        <v>102</v>
      </c>
      <c r="V147" s="6" t="s">
        <v>102</v>
      </c>
    </row>
    <row r="148">
      <c r="B148" s="6" t="s">
        <v>203</v>
      </c>
      <c r="C148" s="42" t="s">
        <v>195</v>
      </c>
      <c r="D148" s="6" t="s">
        <v>204</v>
      </c>
      <c r="E148" s="6" t="s">
        <v>205</v>
      </c>
      <c r="F148" s="6" t="s">
        <v>206</v>
      </c>
      <c r="G148" s="42" t="s">
        <v>192</v>
      </c>
      <c r="H148" s="6" t="s">
        <v>215</v>
      </c>
      <c r="I148" s="6" t="s">
        <v>210</v>
      </c>
      <c r="J148" s="6" t="s">
        <v>174</v>
      </c>
      <c r="K148" s="43">
        <v>45803.0</v>
      </c>
      <c r="L148" s="42" t="s">
        <v>216</v>
      </c>
      <c r="M148" s="45">
        <v>90.0</v>
      </c>
      <c r="P148" s="6" t="s">
        <v>208</v>
      </c>
      <c r="Q148" s="6" t="s">
        <v>209</v>
      </c>
      <c r="R148" s="43">
        <v>45690.0</v>
      </c>
      <c r="S148" s="6">
        <v>33.0</v>
      </c>
      <c r="T148" s="6">
        <v>120.0</v>
      </c>
      <c r="U148" s="6">
        <v>19.0</v>
      </c>
      <c r="V148" s="6" t="s">
        <v>190</v>
      </c>
    </row>
    <row r="149">
      <c r="B149" s="45" t="s">
        <v>102</v>
      </c>
      <c r="C149" s="45" t="s">
        <v>102</v>
      </c>
      <c r="D149" s="45" t="s">
        <v>102</v>
      </c>
      <c r="E149" s="45" t="s">
        <v>102</v>
      </c>
      <c r="F149" s="45" t="s">
        <v>102</v>
      </c>
      <c r="G149" s="45" t="s">
        <v>102</v>
      </c>
      <c r="H149" s="45" t="s">
        <v>102</v>
      </c>
      <c r="I149" s="45" t="s">
        <v>102</v>
      </c>
      <c r="J149" s="45" t="s">
        <v>102</v>
      </c>
      <c r="K149" s="45" t="s">
        <v>102</v>
      </c>
      <c r="L149" s="45" t="s">
        <v>102</v>
      </c>
      <c r="M149" s="45" t="s">
        <v>102</v>
      </c>
      <c r="P149" s="6" t="s">
        <v>210</v>
      </c>
      <c r="Q149" s="6" t="s">
        <v>211</v>
      </c>
      <c r="R149" s="43">
        <v>45690.0</v>
      </c>
      <c r="S149" s="6">
        <v>18.0</v>
      </c>
      <c r="T149" s="6">
        <v>160.0</v>
      </c>
      <c r="U149" s="6">
        <v>38.0</v>
      </c>
      <c r="V149" s="6" t="s">
        <v>190</v>
      </c>
    </row>
    <row r="150" ht="17.25" customHeight="1">
      <c r="P150" s="6" t="s">
        <v>102</v>
      </c>
      <c r="Q150" s="6" t="s">
        <v>102</v>
      </c>
      <c r="R150" s="6" t="s">
        <v>102</v>
      </c>
      <c r="S150" s="6" t="s">
        <v>102</v>
      </c>
      <c r="T150" s="6" t="s">
        <v>102</v>
      </c>
      <c r="U150" s="6" t="s">
        <v>102</v>
      </c>
      <c r="V150" s="6" t="s">
        <v>102</v>
      </c>
    </row>
    <row r="151">
      <c r="B151" s="2" t="s">
        <v>34</v>
      </c>
      <c r="C151" s="2" t="s">
        <v>36</v>
      </c>
      <c r="D151" s="2" t="s">
        <v>13</v>
      </c>
      <c r="E151" s="2" t="s">
        <v>92</v>
      </c>
      <c r="F151" s="2" t="s">
        <v>24</v>
      </c>
      <c r="G151" s="2" t="s">
        <v>10</v>
      </c>
      <c r="H151" s="2" t="s">
        <v>22</v>
      </c>
      <c r="I151" s="2" t="s">
        <v>16</v>
      </c>
      <c r="J151" s="2" t="s">
        <v>40</v>
      </c>
      <c r="K151" s="2" t="s">
        <v>41</v>
      </c>
      <c r="L151" s="2" t="s">
        <v>42</v>
      </c>
      <c r="M151" s="2" t="s">
        <v>43</v>
      </c>
    </row>
    <row r="152">
      <c r="B152" s="45" t="s">
        <v>102</v>
      </c>
      <c r="C152" s="45" t="s">
        <v>102</v>
      </c>
      <c r="D152" s="45" t="s">
        <v>102</v>
      </c>
      <c r="E152" s="45" t="s">
        <v>102</v>
      </c>
      <c r="F152" s="46" t="s">
        <v>102</v>
      </c>
      <c r="G152" s="45" t="s">
        <v>102</v>
      </c>
      <c r="H152" s="45" t="s">
        <v>102</v>
      </c>
      <c r="I152" s="45" t="s">
        <v>102</v>
      </c>
      <c r="J152" s="45" t="s">
        <v>102</v>
      </c>
      <c r="K152" s="45" t="s">
        <v>102</v>
      </c>
      <c r="L152" s="45" t="s">
        <v>102</v>
      </c>
      <c r="M152" s="45" t="s">
        <v>102</v>
      </c>
    </row>
    <row r="153">
      <c r="B153" s="6" t="s">
        <v>203</v>
      </c>
      <c r="C153" s="42" t="s">
        <v>180</v>
      </c>
      <c r="D153" s="6" t="s">
        <v>204</v>
      </c>
      <c r="E153" s="6" t="s">
        <v>205</v>
      </c>
      <c r="F153" s="6" t="s">
        <v>206</v>
      </c>
      <c r="G153" s="6" t="s">
        <v>183</v>
      </c>
      <c r="H153" s="6" t="s">
        <v>184</v>
      </c>
      <c r="I153" s="42" t="s">
        <v>185</v>
      </c>
      <c r="J153" s="6" t="s">
        <v>174</v>
      </c>
      <c r="K153" s="43">
        <v>45803.0</v>
      </c>
      <c r="L153" s="42" t="s">
        <v>207</v>
      </c>
      <c r="M153" s="6">
        <v>30.0</v>
      </c>
      <c r="P153" s="52" t="s">
        <v>16</v>
      </c>
      <c r="Q153" s="52" t="s">
        <v>31</v>
      </c>
      <c r="R153" s="53" t="s">
        <v>47</v>
      </c>
      <c r="S153" s="52" t="s">
        <v>48</v>
      </c>
      <c r="T153" s="52" t="s">
        <v>50</v>
      </c>
      <c r="U153" s="52" t="s">
        <v>54</v>
      </c>
      <c r="V153" s="52" t="s">
        <v>57</v>
      </c>
    </row>
    <row r="154">
      <c r="B154" s="6" t="s">
        <v>203</v>
      </c>
      <c r="C154" s="42" t="s">
        <v>191</v>
      </c>
      <c r="D154" s="6" t="s">
        <v>204</v>
      </c>
      <c r="E154" s="6" t="s">
        <v>205</v>
      </c>
      <c r="F154" s="6" t="s">
        <v>206</v>
      </c>
      <c r="G154" s="42" t="s">
        <v>212</v>
      </c>
      <c r="H154" s="6" t="s">
        <v>213</v>
      </c>
      <c r="I154" s="6" t="s">
        <v>208</v>
      </c>
      <c r="J154" s="6" t="s">
        <v>174</v>
      </c>
      <c r="K154" s="43">
        <v>45803.0</v>
      </c>
      <c r="L154" s="42" t="s">
        <v>214</v>
      </c>
      <c r="M154" s="6">
        <v>80.0</v>
      </c>
      <c r="P154" s="6" t="s">
        <v>102</v>
      </c>
      <c r="Q154" s="6" t="s">
        <v>102</v>
      </c>
      <c r="R154" s="6" t="s">
        <v>102</v>
      </c>
      <c r="S154" s="6" t="s">
        <v>102</v>
      </c>
      <c r="T154" s="6" t="s">
        <v>102</v>
      </c>
      <c r="U154" s="6" t="s">
        <v>102</v>
      </c>
      <c r="V154" s="6" t="s">
        <v>102</v>
      </c>
    </row>
    <row r="155">
      <c r="B155" s="6" t="s">
        <v>203</v>
      </c>
      <c r="C155" s="42" t="s">
        <v>195</v>
      </c>
      <c r="D155" s="6" t="s">
        <v>204</v>
      </c>
      <c r="E155" s="6" t="s">
        <v>205</v>
      </c>
      <c r="F155" s="6" t="s">
        <v>206</v>
      </c>
      <c r="G155" s="42" t="s">
        <v>192</v>
      </c>
      <c r="H155" s="6" t="s">
        <v>215</v>
      </c>
      <c r="I155" s="6" t="s">
        <v>210</v>
      </c>
      <c r="J155" s="6" t="s">
        <v>177</v>
      </c>
      <c r="K155" s="43">
        <v>45803.0</v>
      </c>
      <c r="L155" s="42" t="s">
        <v>216</v>
      </c>
      <c r="M155" s="45">
        <v>90.0</v>
      </c>
      <c r="P155" s="6" t="s">
        <v>208</v>
      </c>
      <c r="Q155" s="6" t="s">
        <v>209</v>
      </c>
      <c r="R155" s="43">
        <v>45690.0</v>
      </c>
      <c r="S155" s="6">
        <v>33.0</v>
      </c>
      <c r="T155" s="6">
        <v>120.0</v>
      </c>
      <c r="U155" s="6">
        <v>19.0</v>
      </c>
      <c r="V155" s="6" t="s">
        <v>190</v>
      </c>
    </row>
    <row r="156">
      <c r="B156" s="6" t="s">
        <v>203</v>
      </c>
      <c r="C156" s="42" t="s">
        <v>217</v>
      </c>
      <c r="D156" s="6" t="s">
        <v>204</v>
      </c>
      <c r="E156" s="6" t="s">
        <v>205</v>
      </c>
      <c r="F156" s="6" t="s">
        <v>206</v>
      </c>
      <c r="G156" s="42" t="s">
        <v>218</v>
      </c>
      <c r="H156" s="6" t="s">
        <v>219</v>
      </c>
      <c r="I156" s="6" t="s">
        <v>210</v>
      </c>
      <c r="J156" s="6" t="s">
        <v>198</v>
      </c>
      <c r="K156" s="43">
        <v>45803.0</v>
      </c>
      <c r="L156" s="50">
        <v>0.7251273148148148</v>
      </c>
      <c r="M156" s="6">
        <v>100.0</v>
      </c>
      <c r="P156" s="6" t="s">
        <v>210</v>
      </c>
      <c r="Q156" s="6" t="s">
        <v>211</v>
      </c>
      <c r="R156" s="43">
        <v>45690.0</v>
      </c>
      <c r="S156" s="6">
        <v>17.0</v>
      </c>
      <c r="T156" s="6">
        <v>161.0</v>
      </c>
      <c r="U156" s="6">
        <v>38.0</v>
      </c>
      <c r="V156" s="6" t="s">
        <v>190</v>
      </c>
    </row>
    <row r="157">
      <c r="B157" s="45" t="s">
        <v>102</v>
      </c>
      <c r="C157" s="45" t="s">
        <v>102</v>
      </c>
      <c r="D157" s="45" t="s">
        <v>102</v>
      </c>
      <c r="E157" s="45" t="s">
        <v>102</v>
      </c>
      <c r="F157" s="45" t="s">
        <v>102</v>
      </c>
      <c r="G157" s="45" t="s">
        <v>102</v>
      </c>
      <c r="H157" s="45" t="s">
        <v>102</v>
      </c>
      <c r="I157" s="45" t="s">
        <v>102</v>
      </c>
      <c r="J157" s="45" t="s">
        <v>102</v>
      </c>
      <c r="K157" s="45" t="s">
        <v>102</v>
      </c>
      <c r="L157" s="45" t="s">
        <v>102</v>
      </c>
      <c r="M157" s="45" t="s">
        <v>102</v>
      </c>
      <c r="P157" s="6" t="s">
        <v>102</v>
      </c>
      <c r="Q157" s="6" t="s">
        <v>102</v>
      </c>
      <c r="R157" s="6" t="s">
        <v>102</v>
      </c>
      <c r="S157" s="6" t="s">
        <v>102</v>
      </c>
      <c r="T157" s="6" t="s">
        <v>102</v>
      </c>
      <c r="U157" s="6" t="s">
        <v>102</v>
      </c>
      <c r="V157" s="6" t="s">
        <v>102</v>
      </c>
    </row>
    <row r="158">
      <c r="B158" s="45" t="s">
        <v>102</v>
      </c>
      <c r="C158" s="45" t="s">
        <v>102</v>
      </c>
      <c r="D158" s="45" t="s">
        <v>102</v>
      </c>
      <c r="E158" s="45" t="s">
        <v>102</v>
      </c>
      <c r="F158" s="45" t="s">
        <v>102</v>
      </c>
      <c r="G158" s="45" t="s">
        <v>102</v>
      </c>
      <c r="H158" s="45" t="s">
        <v>102</v>
      </c>
      <c r="I158" s="45" t="s">
        <v>102</v>
      </c>
      <c r="J158" s="45" t="s">
        <v>102</v>
      </c>
      <c r="K158" s="45" t="s">
        <v>102</v>
      </c>
      <c r="L158" s="45" t="s">
        <v>102</v>
      </c>
      <c r="M158" s="45" t="s">
        <v>102</v>
      </c>
    </row>
    <row r="164"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</row>
    <row r="165"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4"/>
    </row>
    <row r="166">
      <c r="B166" s="8" t="s">
        <v>200</v>
      </c>
      <c r="J166" s="56"/>
      <c r="K166" s="56"/>
      <c r="L166" s="56"/>
      <c r="M166" s="54"/>
    </row>
    <row r="167">
      <c r="B167" s="49" t="s">
        <v>34</v>
      </c>
      <c r="C167" s="49" t="s">
        <v>36</v>
      </c>
      <c r="D167" s="49" t="s">
        <v>13</v>
      </c>
      <c r="E167" s="49" t="s">
        <v>10</v>
      </c>
      <c r="F167" s="49" t="s">
        <v>40</v>
      </c>
      <c r="G167" s="49" t="s">
        <v>41</v>
      </c>
      <c r="H167" s="49" t="s">
        <v>42</v>
      </c>
      <c r="I167" s="57"/>
      <c r="J167" s="58"/>
      <c r="K167" s="59"/>
      <c r="L167" s="55"/>
      <c r="M167" s="54"/>
    </row>
    <row r="168">
      <c r="B168" s="45" t="s">
        <v>102</v>
      </c>
      <c r="C168" s="45" t="s">
        <v>102</v>
      </c>
      <c r="D168" s="45" t="s">
        <v>102</v>
      </c>
      <c r="E168" s="45" t="s">
        <v>102</v>
      </c>
      <c r="F168" s="45" t="s">
        <v>102</v>
      </c>
      <c r="G168" s="45" t="s">
        <v>102</v>
      </c>
      <c r="H168" s="45" t="s">
        <v>102</v>
      </c>
      <c r="I168" s="60"/>
      <c r="J168" s="56"/>
      <c r="K168" s="56"/>
      <c r="L168" s="56"/>
      <c r="M168" s="54"/>
    </row>
    <row r="169">
      <c r="B169" s="6" t="s">
        <v>203</v>
      </c>
      <c r="C169" s="42" t="s">
        <v>180</v>
      </c>
      <c r="D169" s="6" t="s">
        <v>204</v>
      </c>
      <c r="E169" s="6" t="s">
        <v>218</v>
      </c>
      <c r="F169" s="6" t="s">
        <v>198</v>
      </c>
      <c r="G169" s="43">
        <v>45803.0</v>
      </c>
      <c r="H169" s="50">
        <v>0.7251273148148148</v>
      </c>
      <c r="I169" s="61"/>
      <c r="J169" s="56"/>
      <c r="K169" s="56"/>
      <c r="L169" s="56"/>
      <c r="M169" s="54"/>
    </row>
    <row r="170">
      <c r="B170" s="45" t="s">
        <v>102</v>
      </c>
      <c r="C170" s="45" t="s">
        <v>102</v>
      </c>
      <c r="D170" s="45" t="s">
        <v>102</v>
      </c>
      <c r="E170" s="45" t="s">
        <v>102</v>
      </c>
      <c r="F170" s="45" t="s">
        <v>102</v>
      </c>
      <c r="G170" s="45" t="s">
        <v>102</v>
      </c>
      <c r="H170" s="45" t="s">
        <v>102</v>
      </c>
      <c r="I170" s="60"/>
    </row>
    <row r="173">
      <c r="B173" s="8" t="s">
        <v>201</v>
      </c>
    </row>
    <row r="174">
      <c r="B174" s="51" t="s">
        <v>157</v>
      </c>
      <c r="C174" s="51" t="s">
        <v>36</v>
      </c>
      <c r="D174" s="51" t="s">
        <v>16</v>
      </c>
      <c r="E174" s="51" t="s">
        <v>68</v>
      </c>
    </row>
    <row r="175">
      <c r="B175" s="45" t="s">
        <v>102</v>
      </c>
      <c r="C175" s="45" t="s">
        <v>102</v>
      </c>
      <c r="D175" s="45" t="s">
        <v>102</v>
      </c>
      <c r="E175" s="45" t="s">
        <v>102</v>
      </c>
    </row>
    <row r="176">
      <c r="B176" s="6" t="s">
        <v>203</v>
      </c>
      <c r="C176" s="42" t="s">
        <v>180</v>
      </c>
      <c r="D176" s="6" t="s">
        <v>210</v>
      </c>
      <c r="E176" s="6">
        <v>1.0</v>
      </c>
    </row>
    <row r="177">
      <c r="B177" s="45" t="s">
        <v>102</v>
      </c>
      <c r="C177" s="45" t="s">
        <v>102</v>
      </c>
      <c r="D177" s="45" t="s">
        <v>102</v>
      </c>
      <c r="E177" s="45" t="s">
        <v>102</v>
      </c>
    </row>
  </sheetData>
  <mergeCells count="9">
    <mergeCell ref="D35:D36"/>
    <mergeCell ref="D48:D50"/>
    <mergeCell ref="J5:K5"/>
    <mergeCell ref="A15:B15"/>
    <mergeCell ref="D17:D18"/>
    <mergeCell ref="D19:D20"/>
    <mergeCell ref="J32:K32"/>
    <mergeCell ref="A33:B33"/>
    <mergeCell ref="A46:B4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4" max="4" width="17.13"/>
    <col customWidth="1" min="5" max="5" width="15.5"/>
    <col customWidth="1" min="6" max="6" width="13.88"/>
    <col customWidth="1" min="7" max="7" width="15.88"/>
    <col customWidth="1" min="10" max="10" width="18.63"/>
  </cols>
  <sheetData>
    <row r="2">
      <c r="E2" s="1" t="s">
        <v>30</v>
      </c>
      <c r="F2" s="13"/>
      <c r="G2" s="13"/>
    </row>
    <row r="3">
      <c r="K3" s="8" t="s">
        <v>46</v>
      </c>
      <c r="M3" s="8" t="s">
        <v>13</v>
      </c>
      <c r="N3" s="8" t="s">
        <v>17</v>
      </c>
      <c r="O3" s="8" t="s">
        <v>52</v>
      </c>
    </row>
    <row r="4">
      <c r="F4" s="9" t="s">
        <v>56</v>
      </c>
      <c r="G4" s="9" t="s">
        <v>58</v>
      </c>
      <c r="K4" s="8" t="s">
        <v>60</v>
      </c>
      <c r="M4" s="8" t="s">
        <v>39</v>
      </c>
      <c r="N4" s="8" t="s">
        <v>17</v>
      </c>
      <c r="O4" s="8" t="s">
        <v>62</v>
      </c>
      <c r="P4" s="8" t="s">
        <v>63</v>
      </c>
    </row>
    <row r="5">
      <c r="K5" s="8" t="s">
        <v>3</v>
      </c>
      <c r="M5" s="8" t="s">
        <v>10</v>
      </c>
      <c r="N5" s="8" t="s">
        <v>14</v>
      </c>
    </row>
    <row r="6">
      <c r="K6" s="8" t="s">
        <v>67</v>
      </c>
      <c r="M6" s="8" t="s">
        <v>68</v>
      </c>
      <c r="N6" s="8" t="s">
        <v>41</v>
      </c>
      <c r="O6" s="8" t="s">
        <v>42</v>
      </c>
    </row>
    <row r="7">
      <c r="E7" s="22"/>
      <c r="F7" s="9" t="s">
        <v>69</v>
      </c>
      <c r="G7" s="9" t="s">
        <v>70</v>
      </c>
    </row>
    <row r="13">
      <c r="C13" s="6" t="s">
        <v>72</v>
      </c>
      <c r="D13" s="6" t="s">
        <v>17</v>
      </c>
      <c r="E13" s="6" t="s">
        <v>52</v>
      </c>
      <c r="F13" s="6" t="s">
        <v>39</v>
      </c>
      <c r="G13" s="6" t="s">
        <v>31</v>
      </c>
      <c r="H13" s="6" t="s">
        <v>68</v>
      </c>
      <c r="I13" s="6" t="s">
        <v>10</v>
      </c>
      <c r="J13" s="6" t="s">
        <v>14</v>
      </c>
      <c r="K13" s="6" t="s">
        <v>41</v>
      </c>
      <c r="L13" s="6" t="s">
        <v>42</v>
      </c>
      <c r="M13" s="24"/>
    </row>
    <row r="14">
      <c r="C14" s="9" t="s">
        <v>74</v>
      </c>
      <c r="D14" s="9" t="s">
        <v>75</v>
      </c>
      <c r="E14" s="9" t="s">
        <v>76</v>
      </c>
      <c r="F14" s="9" t="s">
        <v>77</v>
      </c>
      <c r="G14" s="9" t="s">
        <v>78</v>
      </c>
      <c r="H14" s="9">
        <v>3.0</v>
      </c>
      <c r="I14" s="9" t="s">
        <v>79</v>
      </c>
      <c r="J14" s="9" t="s">
        <v>80</v>
      </c>
      <c r="K14" s="27" t="s">
        <v>81</v>
      </c>
      <c r="L14" s="29">
        <v>0.5021296296296296</v>
      </c>
      <c r="M14" s="9" t="s">
        <v>82</v>
      </c>
    </row>
    <row r="15">
      <c r="C15" s="9" t="s">
        <v>83</v>
      </c>
      <c r="D15" s="9" t="s">
        <v>85</v>
      </c>
      <c r="E15" s="9" t="s">
        <v>86</v>
      </c>
      <c r="F15" s="9" t="s">
        <v>87</v>
      </c>
      <c r="G15" s="9" t="s">
        <v>88</v>
      </c>
      <c r="H15" s="9">
        <v>1.0</v>
      </c>
      <c r="I15" s="9" t="s">
        <v>89</v>
      </c>
      <c r="J15" s="9" t="s">
        <v>90</v>
      </c>
      <c r="K15" s="30">
        <v>45680.0</v>
      </c>
      <c r="L15" s="29">
        <v>0.5437962962962963</v>
      </c>
      <c r="M15" s="9" t="s">
        <v>82</v>
      </c>
    </row>
    <row r="16">
      <c r="C16" s="9" t="s">
        <v>93</v>
      </c>
      <c r="D16" s="9" t="s">
        <v>94</v>
      </c>
      <c r="E16" s="9" t="s">
        <v>96</v>
      </c>
      <c r="F16" s="9" t="s">
        <v>97</v>
      </c>
      <c r="G16" s="9" t="s">
        <v>98</v>
      </c>
      <c r="H16" s="9">
        <v>2.0</v>
      </c>
      <c r="I16" s="9" t="s">
        <v>99</v>
      </c>
      <c r="J16" s="9" t="s">
        <v>90</v>
      </c>
      <c r="K16" s="27" t="s">
        <v>101</v>
      </c>
      <c r="L16" s="29">
        <v>0.585462962962963</v>
      </c>
      <c r="M16" s="9" t="s">
        <v>82</v>
      </c>
    </row>
    <row r="17">
      <c r="C17" s="9" t="s">
        <v>102</v>
      </c>
      <c r="D17" s="9" t="s">
        <v>102</v>
      </c>
      <c r="E17" s="9" t="s">
        <v>102</v>
      </c>
      <c r="F17" s="9" t="s">
        <v>104</v>
      </c>
      <c r="G17" s="9" t="s">
        <v>102</v>
      </c>
      <c r="H17" s="9" t="s">
        <v>102</v>
      </c>
      <c r="I17" s="9" t="s">
        <v>102</v>
      </c>
      <c r="J17" s="9" t="s">
        <v>102</v>
      </c>
      <c r="K17" s="9" t="s">
        <v>102</v>
      </c>
      <c r="L17" s="9" t="s">
        <v>102</v>
      </c>
      <c r="M17" s="9" t="s">
        <v>102</v>
      </c>
    </row>
    <row r="20">
      <c r="F20" s="9">
        <v>1.0</v>
      </c>
      <c r="G20" s="9">
        <v>2.0</v>
      </c>
      <c r="H20" s="9">
        <v>3.0</v>
      </c>
      <c r="I20" s="9">
        <v>4.0</v>
      </c>
      <c r="J20" s="9">
        <v>5.0</v>
      </c>
    </row>
    <row r="25">
      <c r="D25" s="8" t="s">
        <v>106</v>
      </c>
    </row>
    <row r="27">
      <c r="D27" s="8" t="s">
        <v>62</v>
      </c>
      <c r="E27" s="8" t="s">
        <v>21</v>
      </c>
      <c r="F27" s="8">
        <v>6.0</v>
      </c>
      <c r="G27" s="31" t="s">
        <v>23</v>
      </c>
      <c r="J27" s="8" t="s">
        <v>108</v>
      </c>
      <c r="K27" s="8" t="s">
        <v>62</v>
      </c>
    </row>
    <row r="28">
      <c r="D28" s="8" t="s">
        <v>109</v>
      </c>
      <c r="E28" s="8" t="s">
        <v>21</v>
      </c>
      <c r="F28" s="8">
        <v>10.0</v>
      </c>
      <c r="G28" s="31" t="s">
        <v>35</v>
      </c>
      <c r="J28" s="8" t="s">
        <v>111</v>
      </c>
      <c r="K28" s="8" t="s">
        <v>109</v>
      </c>
    </row>
    <row r="29">
      <c r="D29" s="8" t="s">
        <v>112</v>
      </c>
      <c r="E29" s="8" t="s">
        <v>59</v>
      </c>
      <c r="F29" s="8">
        <v>3.0</v>
      </c>
      <c r="G29" s="8"/>
      <c r="J29" s="8"/>
      <c r="K29" s="8"/>
    </row>
    <row r="30">
      <c r="D30" s="8" t="s">
        <v>115</v>
      </c>
      <c r="E30" s="8" t="s">
        <v>116</v>
      </c>
    </row>
    <row r="32">
      <c r="E32" s="8" t="s">
        <v>13</v>
      </c>
      <c r="F32" s="8" t="s">
        <v>21</v>
      </c>
      <c r="G32" s="8">
        <v>8.0</v>
      </c>
      <c r="H32" s="31" t="s">
        <v>100</v>
      </c>
    </row>
    <row r="33">
      <c r="E33" s="8" t="s">
        <v>17</v>
      </c>
      <c r="F33" s="8" t="s">
        <v>21</v>
      </c>
      <c r="G33" s="8">
        <v>20.0</v>
      </c>
    </row>
    <row r="34">
      <c r="E34" s="8" t="s">
        <v>52</v>
      </c>
      <c r="F34" s="8" t="s">
        <v>21</v>
      </c>
      <c r="G34" s="8">
        <v>20.0</v>
      </c>
    </row>
    <row r="35">
      <c r="E35" s="8" t="s">
        <v>39</v>
      </c>
      <c r="F35" s="8" t="s">
        <v>21</v>
      </c>
      <c r="G35" s="8">
        <v>8.0</v>
      </c>
    </row>
    <row r="36">
      <c r="E36" s="8" t="s">
        <v>31</v>
      </c>
      <c r="F36" s="8" t="s">
        <v>21</v>
      </c>
      <c r="G36" s="8">
        <v>20.0</v>
      </c>
    </row>
    <row r="37">
      <c r="E37" s="8" t="s">
        <v>68</v>
      </c>
      <c r="F37" s="8" t="s">
        <v>59</v>
      </c>
      <c r="G37" s="8">
        <v>3.0</v>
      </c>
    </row>
    <row r="38">
      <c r="E38" s="8" t="s">
        <v>10</v>
      </c>
      <c r="F38" s="8" t="s">
        <v>21</v>
      </c>
      <c r="G38" s="8">
        <v>8.0</v>
      </c>
    </row>
    <row r="39">
      <c r="E39" s="8" t="s">
        <v>14</v>
      </c>
      <c r="F39" s="8" t="s">
        <v>21</v>
      </c>
      <c r="G39" s="8">
        <v>20.0</v>
      </c>
    </row>
    <row r="40">
      <c r="E40" s="8" t="s">
        <v>41</v>
      </c>
      <c r="F40" s="8" t="s">
        <v>49</v>
      </c>
      <c r="G40" s="8">
        <v>8.0</v>
      </c>
    </row>
    <row r="41">
      <c r="E41" s="8" t="s">
        <v>42</v>
      </c>
      <c r="F41" s="8" t="s">
        <v>49</v>
      </c>
      <c r="G41" s="8">
        <v>8.0</v>
      </c>
    </row>
    <row r="44">
      <c r="B44" s="8" t="s">
        <v>122</v>
      </c>
      <c r="C44" s="8" t="s">
        <v>25</v>
      </c>
      <c r="D44" s="8" t="s">
        <v>123</v>
      </c>
    </row>
    <row r="45">
      <c r="C45" s="8" t="s">
        <v>124</v>
      </c>
      <c r="D45" s="8" t="s">
        <v>125</v>
      </c>
    </row>
    <row r="46">
      <c r="C46" s="8" t="s">
        <v>126</v>
      </c>
      <c r="D46" s="8" t="s">
        <v>62</v>
      </c>
    </row>
    <row r="47">
      <c r="C47" s="8" t="s">
        <v>127</v>
      </c>
      <c r="D47" s="8" t="s">
        <v>109</v>
      </c>
      <c r="K47" s="8" t="s">
        <v>128</v>
      </c>
      <c r="L47" s="8" t="s">
        <v>129</v>
      </c>
    </row>
    <row r="48">
      <c r="H48" s="8">
        <v>10216.0</v>
      </c>
      <c r="K48" s="8">
        <v>0.0</v>
      </c>
      <c r="L48" s="8">
        <v>508.0</v>
      </c>
    </row>
    <row r="49">
      <c r="B49" s="8" t="s">
        <v>130</v>
      </c>
      <c r="C49" s="8" t="s">
        <v>131</v>
      </c>
      <c r="D49" s="32" t="s">
        <v>132</v>
      </c>
      <c r="J49" s="8">
        <v>512.0</v>
      </c>
      <c r="K49" s="8">
        <v>0.0</v>
      </c>
      <c r="L49" s="8">
        <v>1020.0</v>
      </c>
    </row>
    <row r="50">
      <c r="J50" s="8">
        <v>1024.0</v>
      </c>
      <c r="K50" s="8">
        <v>0.0</v>
      </c>
      <c r="L50" s="8">
        <v>10.0</v>
      </c>
    </row>
    <row r="51">
      <c r="B51" s="8" t="s">
        <v>133</v>
      </c>
      <c r="C51" s="8" t="s">
        <v>134</v>
      </c>
      <c r="D51" s="32" t="s">
        <v>135</v>
      </c>
      <c r="J51" s="8">
        <v>1536.0</v>
      </c>
      <c r="K51" s="8">
        <v>0.0</v>
      </c>
      <c r="L51" s="8">
        <v>1532.0</v>
      </c>
    </row>
    <row r="52">
      <c r="J52" s="8">
        <v>2048.0</v>
      </c>
      <c r="K52" s="8">
        <v>1.0</v>
      </c>
      <c r="L52" s="8">
        <v>2044.0</v>
      </c>
    </row>
    <row r="53">
      <c r="B53" s="8" t="s">
        <v>136</v>
      </c>
      <c r="C53" s="8" t="s">
        <v>137</v>
      </c>
      <c r="D53" s="8">
        <v>2560.0</v>
      </c>
      <c r="J53" s="8">
        <v>2560.0</v>
      </c>
      <c r="K53" s="8">
        <v>1.0</v>
      </c>
      <c r="L53" s="8">
        <v>74.0</v>
      </c>
      <c r="M53" s="8" t="s">
        <v>138</v>
      </c>
    </row>
    <row r="54">
      <c r="J54" s="8">
        <v>3072.0</v>
      </c>
      <c r="K54" s="8">
        <v>1.0</v>
      </c>
      <c r="L54" s="8">
        <v>1098.0</v>
      </c>
    </row>
    <row r="55">
      <c r="B55" s="8" t="s">
        <v>139</v>
      </c>
      <c r="C55" s="8" t="s">
        <v>140</v>
      </c>
      <c r="D55" s="33" t="s">
        <v>141</v>
      </c>
      <c r="J55" s="8">
        <v>3584.0</v>
      </c>
      <c r="K55" s="8">
        <v>1.0</v>
      </c>
      <c r="L55" s="8">
        <v>1610.0</v>
      </c>
    </row>
    <row r="57">
      <c r="B57" s="8" t="s">
        <v>142</v>
      </c>
      <c r="C57" s="8" t="s">
        <v>64</v>
      </c>
      <c r="D57" s="32" t="s">
        <v>143</v>
      </c>
    </row>
    <row r="58">
      <c r="J58" s="22" t="s">
        <v>61</v>
      </c>
      <c r="K58" s="35"/>
      <c r="L58" s="22" t="s">
        <v>128</v>
      </c>
      <c r="M58" s="35"/>
      <c r="N58" s="22" t="s">
        <v>129</v>
      </c>
    </row>
    <row r="59">
      <c r="I59" s="8">
        <v>2479.0</v>
      </c>
      <c r="J59" s="22">
        <v>512.0</v>
      </c>
      <c r="K59" s="35">
        <f t="shared" ref="K59:K65" si="1">(J59-4)/($I$59+3)</f>
        <v>0.2046736503</v>
      </c>
      <c r="L59" s="35">
        <f t="shared" ref="L59:L65" si="2">INT(K59)</f>
        <v>0</v>
      </c>
      <c r="M59" s="35">
        <f t="shared" ref="M59:M65" si="3">K59-L59</f>
        <v>0.2046736503</v>
      </c>
      <c r="N59" s="35">
        <f t="shared" ref="N59:N65" si="4">M59*($I$59+3)</f>
        <v>508</v>
      </c>
    </row>
    <row r="60">
      <c r="J60" s="22">
        <v>1024.0</v>
      </c>
      <c r="K60" s="35">
        <f t="shared" si="1"/>
        <v>0.4109589041</v>
      </c>
      <c r="L60" s="35">
        <f t="shared" si="2"/>
        <v>0</v>
      </c>
      <c r="M60" s="35">
        <f t="shared" si="3"/>
        <v>0.4109589041</v>
      </c>
      <c r="N60" s="35">
        <f t="shared" si="4"/>
        <v>1020</v>
      </c>
    </row>
    <row r="61">
      <c r="J61" s="22">
        <v>1536.0</v>
      </c>
      <c r="K61" s="35">
        <f t="shared" si="1"/>
        <v>0.6172441579</v>
      </c>
      <c r="L61" s="35">
        <f t="shared" si="2"/>
        <v>0</v>
      </c>
      <c r="M61" s="35">
        <f t="shared" si="3"/>
        <v>0.6172441579</v>
      </c>
      <c r="N61" s="35">
        <f t="shared" si="4"/>
        <v>1532</v>
      </c>
    </row>
    <row r="62">
      <c r="J62" s="22">
        <v>2048.0</v>
      </c>
      <c r="K62" s="35">
        <f t="shared" si="1"/>
        <v>0.8235294118</v>
      </c>
      <c r="L62" s="35">
        <f t="shared" si="2"/>
        <v>0</v>
      </c>
      <c r="M62" s="35">
        <f t="shared" si="3"/>
        <v>0.8235294118</v>
      </c>
      <c r="N62" s="35">
        <f t="shared" si="4"/>
        <v>2044</v>
      </c>
    </row>
    <row r="63">
      <c r="J63" s="22">
        <v>2560.0</v>
      </c>
      <c r="K63" s="35">
        <f t="shared" si="1"/>
        <v>1.029814666</v>
      </c>
      <c r="L63" s="35">
        <f t="shared" si="2"/>
        <v>1</v>
      </c>
      <c r="M63" s="35">
        <f t="shared" si="3"/>
        <v>0.02981466559</v>
      </c>
      <c r="N63" s="35">
        <f t="shared" si="4"/>
        <v>74</v>
      </c>
    </row>
    <row r="64">
      <c r="J64" s="22">
        <v>3072.0</v>
      </c>
      <c r="K64" s="35">
        <f t="shared" si="1"/>
        <v>1.236099919</v>
      </c>
      <c r="L64" s="35">
        <f t="shared" si="2"/>
        <v>1</v>
      </c>
      <c r="M64" s="35">
        <f t="shared" si="3"/>
        <v>0.2360999194</v>
      </c>
      <c r="N64" s="35">
        <f t="shared" si="4"/>
        <v>586</v>
      </c>
    </row>
    <row r="65">
      <c r="B65" s="8" t="s">
        <v>170</v>
      </c>
      <c r="J65" s="22">
        <v>3584.0</v>
      </c>
      <c r="K65" s="35">
        <f t="shared" si="1"/>
        <v>1.442385173</v>
      </c>
      <c r="L65" s="35">
        <f t="shared" si="2"/>
        <v>1</v>
      </c>
      <c r="M65" s="35">
        <f t="shared" si="3"/>
        <v>0.4423851732</v>
      </c>
      <c r="N65" s="35">
        <f t="shared" si="4"/>
        <v>1098</v>
      </c>
    </row>
    <row r="70">
      <c r="A70" s="8"/>
    </row>
  </sheetData>
  <mergeCells count="1">
    <mergeCell ref="D57:E57"/>
  </mergeCells>
  <drawing r:id="rId1"/>
</worksheet>
</file>